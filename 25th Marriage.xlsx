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hushi Shukla\OneDrive\Desktop\"/>
    </mc:Choice>
  </mc:AlternateContent>
  <xr:revisionPtr revIDLastSave="0" documentId="13_ncr:1_{74E5948E-586C-413E-B7B6-7092A10CDAD4}" xr6:coauthVersionLast="47" xr6:coauthVersionMax="47" xr10:uidLastSave="{00000000-0000-0000-0000-000000000000}"/>
  <bookViews>
    <workbookView xWindow="-108" yWindow="-108" windowWidth="23256" windowHeight="12456" activeTab="6" xr2:uid="{5977636D-D3DC-44C7-8D39-82C7B32C485D}"/>
  </bookViews>
  <sheets>
    <sheet name="Reception" sheetId="1" r:id="rId1"/>
    <sheet name="Resort" sheetId="2" r:id="rId2"/>
    <sheet name="Car" sheetId="8" r:id="rId3"/>
    <sheet name="Room" sheetId="3" r:id="rId4"/>
    <sheet name="FINAL ROOM" sheetId="7" r:id="rId5"/>
    <sheet name="Function" sheetId="4" r:id="rId6"/>
    <sheet name="Bolleywood" sheetId="6" r:id="rId7"/>
    <sheet name="20-12-25"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4" i="8" l="1"/>
  <c r="E63" i="8"/>
  <c r="H55" i="8"/>
  <c r="C57" i="8"/>
  <c r="B57" i="8"/>
  <c r="G57" i="8"/>
  <c r="F57" i="8"/>
  <c r="E57" i="8"/>
  <c r="D57" i="8"/>
  <c r="H54" i="8"/>
  <c r="H53" i="8"/>
  <c r="H52" i="8"/>
  <c r="H51" i="8"/>
  <c r="H50" i="8"/>
  <c r="H49" i="8"/>
  <c r="S40" i="8"/>
  <c r="H48" i="8"/>
  <c r="H47" i="8"/>
  <c r="H46" i="8"/>
  <c r="H45" i="8"/>
  <c r="H44" i="8"/>
  <c r="H43" i="8"/>
  <c r="J43" i="8"/>
  <c r="N9" i="8"/>
  <c r="K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H8" i="8"/>
  <c r="H7" i="8"/>
  <c r="H6" i="8"/>
  <c r="H5" i="8"/>
  <c r="H4" i="8"/>
  <c r="O39" i="2"/>
  <c r="AQ32" i="3"/>
  <c r="AU26" i="3"/>
  <c r="AN26" i="3"/>
  <c r="AB26" i="3"/>
  <c r="B94" i="6"/>
  <c r="B95" i="6" s="1"/>
  <c r="G39" i="2"/>
  <c r="AA3" i="2"/>
  <c r="AA4" i="2"/>
  <c r="AA5" i="2"/>
  <c r="AA6" i="2"/>
  <c r="AA7" i="2"/>
  <c r="AA8" i="2"/>
  <c r="AA9" i="2"/>
  <c r="AA10" i="2"/>
  <c r="AA11" i="2"/>
  <c r="AA2" i="2"/>
  <c r="T27" i="2"/>
  <c r="U27" i="2"/>
  <c r="S25" i="2"/>
  <c r="T25" i="2"/>
  <c r="U25" i="2"/>
  <c r="R25" i="2"/>
  <c r="S24" i="2"/>
  <c r="S27" i="2" s="1"/>
  <c r="T24" i="2"/>
  <c r="U24" i="2"/>
  <c r="R24" i="2"/>
  <c r="R27" i="2" s="1"/>
  <c r="S19" i="2"/>
  <c r="T19" i="2"/>
  <c r="U19" i="2"/>
  <c r="R19" i="2"/>
  <c r="S18" i="2"/>
  <c r="S21" i="2" s="1"/>
  <c r="T18" i="2"/>
  <c r="T21" i="2" s="1"/>
  <c r="U18" i="2"/>
  <c r="U21" i="2" s="1"/>
  <c r="R18" i="2"/>
  <c r="R21" i="2" s="1"/>
  <c r="O38" i="2"/>
  <c r="O23" i="2"/>
  <c r="O24" i="2"/>
  <c r="O25" i="2"/>
  <c r="O26" i="2"/>
  <c r="O27" i="2"/>
  <c r="O28" i="2"/>
  <c r="O29" i="2"/>
  <c r="O30" i="2"/>
  <c r="O31" i="2"/>
  <c r="O32" i="2"/>
  <c r="O33" i="2"/>
  <c r="O34" i="2"/>
  <c r="O35" i="2"/>
  <c r="O36" i="2"/>
  <c r="O37" i="2"/>
  <c r="O4" i="2"/>
  <c r="O5" i="2"/>
  <c r="O6" i="2"/>
  <c r="O7" i="2"/>
  <c r="O8" i="2"/>
  <c r="O9" i="2"/>
  <c r="O10" i="2"/>
  <c r="O11" i="2"/>
  <c r="O12" i="2"/>
  <c r="O13" i="2"/>
  <c r="O14" i="2"/>
  <c r="O15" i="2"/>
  <c r="O16" i="2"/>
  <c r="O17" i="2"/>
  <c r="O18" i="2"/>
  <c r="O19" i="2"/>
  <c r="O20" i="2"/>
  <c r="O21" i="2"/>
  <c r="O22" i="2"/>
  <c r="O3" i="2"/>
  <c r="E39" i="2"/>
  <c r="E42" i="2" s="1"/>
  <c r="A106" i="2"/>
  <c r="I19" i="4"/>
  <c r="O54" i="1"/>
  <c r="N54" i="1"/>
  <c r="H57" i="8" l="1"/>
  <c r="AA12" i="2"/>
</calcChain>
</file>

<file path=xl/sharedStrings.xml><?xml version="1.0" encoding="utf-8"?>
<sst xmlns="http://schemas.openxmlformats.org/spreadsheetml/2006/main" count="1807" uniqueCount="890">
  <si>
    <t>RECEPTION 1ST DECEMBER 2025 LIST</t>
  </si>
  <si>
    <t>Yagnesh</t>
  </si>
  <si>
    <t xml:space="preserve">Yagnesh </t>
  </si>
  <si>
    <t>Bhavini</t>
  </si>
  <si>
    <t>Khushi</t>
  </si>
  <si>
    <t>Rudra</t>
  </si>
  <si>
    <t>BKS</t>
  </si>
  <si>
    <t>Susiba</t>
  </si>
  <si>
    <t>dada</t>
  </si>
  <si>
    <t>chachu</t>
  </si>
  <si>
    <t>chachi</t>
  </si>
  <si>
    <t>kavan</t>
  </si>
  <si>
    <t>Fulva</t>
  </si>
  <si>
    <t>fulva</t>
  </si>
  <si>
    <t>mh vyas</t>
  </si>
  <si>
    <t>apurva</t>
  </si>
  <si>
    <t>jijaji</t>
  </si>
  <si>
    <t>arpita(shreeja)</t>
  </si>
  <si>
    <t>meenaben</t>
  </si>
  <si>
    <t>dharmesh</t>
  </si>
  <si>
    <t>nidhi</t>
  </si>
  <si>
    <t>chandrika aunty</t>
  </si>
  <si>
    <t>kismat bhai</t>
  </si>
  <si>
    <t>madhav</t>
  </si>
  <si>
    <t>chachi mom</t>
  </si>
  <si>
    <t>deepaben</t>
  </si>
  <si>
    <t>laaxmi</t>
  </si>
  <si>
    <t>laxmiba</t>
  </si>
  <si>
    <t>kamfaiba</t>
  </si>
  <si>
    <t>venuba</t>
  </si>
  <si>
    <t>bhanudada</t>
  </si>
  <si>
    <t>ganudada</t>
  </si>
  <si>
    <t>induba</t>
  </si>
  <si>
    <t>dabbu</t>
  </si>
  <si>
    <t>vasant</t>
  </si>
  <si>
    <t>vasantdada</t>
  </si>
  <si>
    <t>ashakaki</t>
  </si>
  <si>
    <t>isha</t>
  </si>
  <si>
    <t>vansh</t>
  </si>
  <si>
    <t>ravi</t>
  </si>
  <si>
    <t>julia</t>
  </si>
  <si>
    <t>sukarna</t>
  </si>
  <si>
    <t>kabir</t>
  </si>
  <si>
    <t>karan</t>
  </si>
  <si>
    <t>lucky wife</t>
  </si>
  <si>
    <t>lalit</t>
  </si>
  <si>
    <t>lalitdada</t>
  </si>
  <si>
    <t>minakshiba</t>
  </si>
  <si>
    <t>vishal</t>
  </si>
  <si>
    <t>smita</t>
  </si>
  <si>
    <t>pihu</t>
  </si>
  <si>
    <t>rudraksh</t>
  </si>
  <si>
    <t>bhavik</t>
  </si>
  <si>
    <t>vedant</t>
  </si>
  <si>
    <t>siddhi</t>
  </si>
  <si>
    <t>hardika</t>
  </si>
  <si>
    <t>mayurkumar</t>
  </si>
  <si>
    <t>jitu</t>
  </si>
  <si>
    <t>jitudada</t>
  </si>
  <si>
    <t>dakshaba</t>
  </si>
  <si>
    <t>sandeep</t>
  </si>
  <si>
    <t>riddhi</t>
  </si>
  <si>
    <t>chokro</t>
  </si>
  <si>
    <t>amruta</t>
  </si>
  <si>
    <t>husband</t>
  </si>
  <si>
    <t>jigna</t>
  </si>
  <si>
    <t>bhikhu</t>
  </si>
  <si>
    <t>bhikhudada</t>
  </si>
  <si>
    <t>wife</t>
  </si>
  <si>
    <t>hena</t>
  </si>
  <si>
    <t>heena</t>
  </si>
  <si>
    <t>anand</t>
  </si>
  <si>
    <t>shailee</t>
  </si>
  <si>
    <t>aryan</t>
  </si>
  <si>
    <t>ankur</t>
  </si>
  <si>
    <t>deepa(harshil)</t>
  </si>
  <si>
    <t>dhaiyar</t>
  </si>
  <si>
    <t>kaushal</t>
  </si>
  <si>
    <t>dabu(chotu)</t>
  </si>
  <si>
    <t>somya</t>
  </si>
  <si>
    <t>krishna</t>
  </si>
  <si>
    <t>raj</t>
  </si>
  <si>
    <t>krish</t>
  </si>
  <si>
    <t>jeenil</t>
  </si>
  <si>
    <t>pranjalkumar</t>
  </si>
  <si>
    <t>chechu</t>
  </si>
  <si>
    <t>mayuri</t>
  </si>
  <si>
    <t>mayurifui</t>
  </si>
  <si>
    <t>ketan</t>
  </si>
  <si>
    <t>pranav</t>
  </si>
  <si>
    <t>shivagna</t>
  </si>
  <si>
    <t>rupal</t>
  </si>
  <si>
    <t>riupal</t>
  </si>
  <si>
    <t>ravi naman</t>
  </si>
  <si>
    <t>wife(chokro)</t>
  </si>
  <si>
    <t>vikram</t>
  </si>
  <si>
    <t>vikram uncle</t>
  </si>
  <si>
    <t>rajendra</t>
  </si>
  <si>
    <t>trivedi</t>
  </si>
  <si>
    <t>rajendra uncle</t>
  </si>
  <si>
    <t>punit</t>
  </si>
  <si>
    <t>sweta(chokro)</t>
  </si>
  <si>
    <t>batukdada</t>
  </si>
  <si>
    <t>RESORT GIR VANVASO LIST</t>
  </si>
  <si>
    <t>bhavnadi</t>
  </si>
  <si>
    <t>ashokmama</t>
  </si>
  <si>
    <t>chandresh</t>
  </si>
  <si>
    <t>jigna(chokra,chokra)</t>
  </si>
  <si>
    <t>nirav</t>
  </si>
  <si>
    <t>RVS</t>
  </si>
  <si>
    <t>renuba</t>
  </si>
  <si>
    <t>rashikdada</t>
  </si>
  <si>
    <t>nehamasi</t>
  </si>
  <si>
    <t>munjal</t>
  </si>
  <si>
    <t>shivani</t>
  </si>
  <si>
    <t>kiran</t>
  </si>
  <si>
    <t>dipti</t>
  </si>
  <si>
    <t>diya</t>
  </si>
  <si>
    <t>siddhant</t>
  </si>
  <si>
    <t>srishti</t>
  </si>
  <si>
    <t>rahul</t>
  </si>
  <si>
    <t>anu</t>
  </si>
  <si>
    <t>bali</t>
  </si>
  <si>
    <t>dipti mom</t>
  </si>
  <si>
    <t>dipti dad</t>
  </si>
  <si>
    <t>ashokdada</t>
  </si>
  <si>
    <t>motiba</t>
  </si>
  <si>
    <t>ushaba</t>
  </si>
  <si>
    <t>natudada</t>
  </si>
  <si>
    <t>manu</t>
  </si>
  <si>
    <t>yogita</t>
  </si>
  <si>
    <t>vishala</t>
  </si>
  <si>
    <t>aditi</t>
  </si>
  <si>
    <t>hareshdada</t>
  </si>
  <si>
    <t>nitamami</t>
  </si>
  <si>
    <t>niludada</t>
  </si>
  <si>
    <t>rachu</t>
  </si>
  <si>
    <t>bhargav</t>
  </si>
  <si>
    <t>vidhi</t>
  </si>
  <si>
    <t>veena</t>
  </si>
  <si>
    <t>shraddha</t>
  </si>
  <si>
    <t>milan</t>
  </si>
  <si>
    <t>nilamkaki</t>
  </si>
  <si>
    <t>nilam</t>
  </si>
  <si>
    <t>apla</t>
  </si>
  <si>
    <t>stuti</t>
  </si>
  <si>
    <t>jeet</t>
  </si>
  <si>
    <t>pappu</t>
  </si>
  <si>
    <t>dimple</t>
  </si>
  <si>
    <t>prem</t>
  </si>
  <si>
    <t>anudada</t>
  </si>
  <si>
    <t>shreeben</t>
  </si>
  <si>
    <t>kalpnabhabhi</t>
  </si>
  <si>
    <t>kalpna</t>
  </si>
  <si>
    <t>rudra</t>
  </si>
  <si>
    <t>pooja</t>
  </si>
  <si>
    <t>mihir</t>
  </si>
  <si>
    <t>yogeshbhai</t>
  </si>
  <si>
    <t>meena</t>
  </si>
  <si>
    <t>ankit</t>
  </si>
  <si>
    <t>sneha</t>
  </si>
  <si>
    <t>megha</t>
  </si>
  <si>
    <t>dakshabhabhi</t>
  </si>
  <si>
    <t>daksha</t>
  </si>
  <si>
    <t>hardik</t>
  </si>
  <si>
    <t>mukeshbhai</t>
  </si>
  <si>
    <t>mukesh</t>
  </si>
  <si>
    <t>vivek</t>
  </si>
  <si>
    <t>vipul</t>
  </si>
  <si>
    <t>nayana</t>
  </si>
  <si>
    <t>sejal</t>
  </si>
  <si>
    <t>jiya</t>
  </si>
  <si>
    <t>pintu</t>
  </si>
  <si>
    <t>ela</t>
  </si>
  <si>
    <t>darshan</t>
  </si>
  <si>
    <t>darmik</t>
  </si>
  <si>
    <t>avdesh</t>
  </si>
  <si>
    <t>nainse</t>
  </si>
  <si>
    <t>kuku</t>
  </si>
  <si>
    <t>dikro</t>
  </si>
  <si>
    <t>hetal</t>
  </si>
  <si>
    <t>dikshita</t>
  </si>
  <si>
    <t>deepakbhai</t>
  </si>
  <si>
    <t>deepak</t>
  </si>
  <si>
    <t>hiren</t>
  </si>
  <si>
    <t>bakadada</t>
  </si>
  <si>
    <t>baka</t>
  </si>
  <si>
    <t>mathurdada</t>
  </si>
  <si>
    <t>bipen</t>
  </si>
  <si>
    <t>shila</t>
  </si>
  <si>
    <t>shilpa</t>
  </si>
  <si>
    <t>gaurav</t>
  </si>
  <si>
    <t>niyati</t>
  </si>
  <si>
    <t>shomya</t>
  </si>
  <si>
    <t>mahendra</t>
  </si>
  <si>
    <t>vandana</t>
  </si>
  <si>
    <t>chetan</t>
  </si>
  <si>
    <t>sonal</t>
  </si>
  <si>
    <t>kavita</t>
  </si>
  <si>
    <t>kunj</t>
  </si>
  <si>
    <t>nayan</t>
  </si>
  <si>
    <t>bhavna</t>
  </si>
  <si>
    <t>jimmy</t>
  </si>
  <si>
    <t>harit</t>
  </si>
  <si>
    <t>mohit</t>
  </si>
  <si>
    <t>yogesh</t>
  </si>
  <si>
    <t>jayshree</t>
  </si>
  <si>
    <t>naresh</t>
  </si>
  <si>
    <t>shree</t>
  </si>
  <si>
    <t>devang</t>
  </si>
  <si>
    <t>hansha masi</t>
  </si>
  <si>
    <t>hansha</t>
  </si>
  <si>
    <t>raju</t>
  </si>
  <si>
    <t>dharmistha</t>
  </si>
  <si>
    <t>kamal</t>
  </si>
  <si>
    <t>kahan</t>
  </si>
  <si>
    <t>khushali</t>
  </si>
  <si>
    <t>vaibhavi</t>
  </si>
  <si>
    <t>dhaval</t>
  </si>
  <si>
    <t>bhoomi</t>
  </si>
  <si>
    <t>harshil</t>
  </si>
  <si>
    <t>mahesh</t>
  </si>
  <si>
    <t>bhanu</t>
  </si>
  <si>
    <t>kalpesh</t>
  </si>
  <si>
    <t>kushagra</t>
  </si>
  <si>
    <t>tisha</t>
  </si>
  <si>
    <t>parth</t>
  </si>
  <si>
    <t>harsha</t>
  </si>
  <si>
    <t>rushit</t>
  </si>
  <si>
    <t>vishwa</t>
  </si>
  <si>
    <t>shailesh</t>
  </si>
  <si>
    <t>divya</t>
  </si>
  <si>
    <t>bhoosan</t>
  </si>
  <si>
    <t>pretesh</t>
  </si>
  <si>
    <t>raju mami</t>
  </si>
  <si>
    <t>kundanmami</t>
  </si>
  <si>
    <t>kishor</t>
  </si>
  <si>
    <t>devi</t>
  </si>
  <si>
    <t>atul</t>
  </si>
  <si>
    <t>nisha</t>
  </si>
  <si>
    <t>neel</t>
  </si>
  <si>
    <t>jayesh</t>
  </si>
  <si>
    <t>naina</t>
  </si>
  <si>
    <t>dikshit</t>
  </si>
  <si>
    <t>kali</t>
  </si>
  <si>
    <t>manthan</t>
  </si>
  <si>
    <t>bindu</t>
  </si>
  <si>
    <t>darshit</t>
  </si>
  <si>
    <t>viral</t>
  </si>
  <si>
    <t>dushyant</t>
  </si>
  <si>
    <t>nilanagan</t>
  </si>
  <si>
    <t>valmik</t>
  </si>
  <si>
    <t>chintan</t>
  </si>
  <si>
    <t>durgesh</t>
  </si>
  <si>
    <t>jyoti</t>
  </si>
  <si>
    <t>mahesh kothari</t>
  </si>
  <si>
    <t>harshad</t>
  </si>
  <si>
    <t>swati</t>
  </si>
  <si>
    <t>udit</t>
  </si>
  <si>
    <t>meera</t>
  </si>
  <si>
    <t>saurab</t>
  </si>
  <si>
    <t>khooshboo</t>
  </si>
  <si>
    <t>palvimasi</t>
  </si>
  <si>
    <t>palvi</t>
  </si>
  <si>
    <t>chanyo</t>
  </si>
  <si>
    <t>juhi</t>
  </si>
  <si>
    <t>jaimin</t>
  </si>
  <si>
    <t>tithi</t>
  </si>
  <si>
    <t>shobhna</t>
  </si>
  <si>
    <t>amit</t>
  </si>
  <si>
    <t>ashit</t>
  </si>
  <si>
    <t>sharad</t>
  </si>
  <si>
    <t>subhas</t>
  </si>
  <si>
    <t>mori sir</t>
  </si>
  <si>
    <t>mori</t>
  </si>
  <si>
    <t>snehin</t>
  </si>
  <si>
    <t>bhavesh</t>
  </si>
  <si>
    <t>mansi</t>
  </si>
  <si>
    <t>mom</t>
  </si>
  <si>
    <t>bro</t>
  </si>
  <si>
    <t>keval</t>
  </si>
  <si>
    <t>kirti</t>
  </si>
  <si>
    <t>hiran</t>
  </si>
  <si>
    <t>shardul</t>
  </si>
  <si>
    <t>shaurdul</t>
  </si>
  <si>
    <t>khetar</t>
  </si>
  <si>
    <t>mayur</t>
  </si>
  <si>
    <t>chaturmama</t>
  </si>
  <si>
    <t>chatur</t>
  </si>
  <si>
    <t>khetarmama</t>
  </si>
  <si>
    <t>hiteshbhai</t>
  </si>
  <si>
    <t>hitesh</t>
  </si>
  <si>
    <t>nalin mama</t>
  </si>
  <si>
    <t>nalin</t>
  </si>
  <si>
    <t>trusty</t>
  </si>
  <si>
    <t>member</t>
  </si>
  <si>
    <t>bks</t>
  </si>
  <si>
    <t>rvs</t>
  </si>
  <si>
    <t>renu</t>
  </si>
  <si>
    <t>aju baju</t>
  </si>
  <si>
    <t>NO</t>
  </si>
  <si>
    <t>yagnesh</t>
  </si>
  <si>
    <t>bhavini</t>
  </si>
  <si>
    <t>khushi</t>
  </si>
  <si>
    <t>gopal</t>
  </si>
  <si>
    <t>RESORT ROOM ALLOCATION</t>
  </si>
  <si>
    <t>Diya</t>
  </si>
  <si>
    <t>Kiran</t>
  </si>
  <si>
    <t>C</t>
  </si>
  <si>
    <t>Mayuri</t>
  </si>
  <si>
    <t>DELUX</t>
  </si>
  <si>
    <t>CLUB</t>
  </si>
  <si>
    <t>deepa</t>
  </si>
  <si>
    <t>25TH ANNIVERSERY PROGRAM</t>
  </si>
  <si>
    <t>Randla Ma</t>
  </si>
  <si>
    <t>goini</t>
  </si>
  <si>
    <t>nehaben</t>
  </si>
  <si>
    <t>sbs</t>
  </si>
  <si>
    <t>janvi</t>
  </si>
  <si>
    <t>mehndi</t>
  </si>
  <si>
    <t>arpita</t>
  </si>
  <si>
    <t>puri</t>
  </si>
  <si>
    <t>sak</t>
  </si>
  <si>
    <t>dal</t>
  </si>
  <si>
    <t>bhat</t>
  </si>
  <si>
    <t>gulab jambu</t>
  </si>
  <si>
    <t>framys</t>
  </si>
  <si>
    <t>MENU</t>
  </si>
  <si>
    <t>sev usad</t>
  </si>
  <si>
    <t>MEMBERS</t>
  </si>
  <si>
    <t>14 goini</t>
  </si>
  <si>
    <t>7 gents</t>
  </si>
  <si>
    <t xml:space="preserve">YBS </t>
  </si>
  <si>
    <t>FMV</t>
  </si>
  <si>
    <t>KRS</t>
  </si>
  <si>
    <t>RESORT</t>
  </si>
  <si>
    <t>Event</t>
  </si>
  <si>
    <t>Time</t>
  </si>
  <si>
    <t>Breakfast</t>
  </si>
  <si>
    <t>swagat</t>
  </si>
  <si>
    <t>12 noon</t>
  </si>
  <si>
    <t>lunch</t>
  </si>
  <si>
    <t>high tea</t>
  </si>
  <si>
    <t>haldi</t>
  </si>
  <si>
    <t>swimming</t>
  </si>
  <si>
    <t>bolleywood</t>
  </si>
  <si>
    <t>dinner</t>
  </si>
  <si>
    <t>bonfire</t>
  </si>
  <si>
    <t>breakfast</t>
  </si>
  <si>
    <t>samayu</t>
  </si>
  <si>
    <t>jaan dance</t>
  </si>
  <si>
    <t>vidai</t>
  </si>
  <si>
    <t>depature</t>
  </si>
  <si>
    <t>madhavpur</t>
  </si>
  <si>
    <t>back</t>
  </si>
  <si>
    <t>Madhavpur</t>
  </si>
  <si>
    <t>Unique Title</t>
  </si>
  <si>
    <t>Swag Wali Bharat</t>
  </si>
  <si>
    <t>sunshine splash (haldi)</t>
  </si>
  <si>
    <t>Pool Blast</t>
  </si>
  <si>
    <t>Bollywood Party</t>
  </si>
  <si>
    <t>Yaaro ki Mehfil</t>
  </si>
  <si>
    <t>wed with knots</t>
  </si>
  <si>
    <t>Bhavu's home to heart</t>
  </si>
  <si>
    <t>Bride-groom theme with photo session</t>
  </si>
  <si>
    <t>Bachor party</t>
  </si>
  <si>
    <t xml:space="preserve">theme : </t>
  </si>
  <si>
    <t>one piece</t>
  </si>
  <si>
    <t>boys</t>
  </si>
  <si>
    <t>shorts</t>
  </si>
  <si>
    <t>Swagat</t>
  </si>
  <si>
    <t>Unquiness</t>
  </si>
  <si>
    <t>theme</t>
  </si>
  <si>
    <t>red color</t>
  </si>
  <si>
    <t>ladies gents same same red color ma ane gulab na phool mom dad upar nakhvana e loko white color ma hase ane chelle hu ne rudra heart joint karsu ane ame bev dark blue color ma</t>
  </si>
  <si>
    <t>Haldi</t>
  </si>
  <si>
    <t>girls</t>
  </si>
  <si>
    <t>pink</t>
  </si>
  <si>
    <t>blue</t>
  </si>
  <si>
    <t>Bollywood</t>
  </si>
  <si>
    <t>color bomb, yellow leaf, dj and dance..mom will throw a flower and the one with the flower everyone will color them (5 times)</t>
  </si>
  <si>
    <t>ramp walk with 1min song so 10 people set others will see…then prize distribute to all participants and at last prize distribute</t>
  </si>
  <si>
    <t>Bonfire</t>
  </si>
  <si>
    <t>jungle dance</t>
  </si>
  <si>
    <t>brown</t>
  </si>
  <si>
    <t>green</t>
  </si>
  <si>
    <t>frok</t>
  </si>
  <si>
    <t>Jaan</t>
  </si>
  <si>
    <t>blazer</t>
  </si>
  <si>
    <t>sari</t>
  </si>
  <si>
    <t xml:space="preserve">girls side </t>
  </si>
  <si>
    <t>boys side</t>
  </si>
  <si>
    <t xml:space="preserve"> kurta</t>
  </si>
  <si>
    <t>papa ni side wada googles ane V shape entry with dance...rudra and khushi dance of wah wah ramji…girls side talvar entry with renuba dance of jamai raj raja mila then boys side dance where fulva, janvi dance apke aa jane se ghar me kitne ronak hai then again all girls dance of mari ben ne na kai keso fashion avi .....then at last boys side whole dance on jaan laine aya ame......tere ghar aaya me aaya tujhko lene by dad then varmada</t>
  </si>
  <si>
    <t>siddhant-srishti</t>
  </si>
  <si>
    <t>arpita-jijaji</t>
  </si>
  <si>
    <t>anu rahul</t>
  </si>
  <si>
    <t>munjal shivani</t>
  </si>
  <si>
    <t>kahan wife</t>
  </si>
  <si>
    <t>kamal wife</t>
  </si>
  <si>
    <t>pranav wife</t>
  </si>
  <si>
    <t>shivangi wife</t>
  </si>
  <si>
    <t>shailee krish</t>
  </si>
  <si>
    <t>raj wife</t>
  </si>
  <si>
    <t>somya jeenel</t>
  </si>
  <si>
    <t>kavan apurva</t>
  </si>
  <si>
    <t>diya prem</t>
  </si>
  <si>
    <t>khushi rudra</t>
  </si>
  <si>
    <t>show movie and dance  battle</t>
  </si>
  <si>
    <t>game like one word to sing a song</t>
  </si>
  <si>
    <t>at last couple dance</t>
  </si>
  <si>
    <t>jenish</t>
  </si>
  <si>
    <t>dabu</t>
  </si>
  <si>
    <t>chotu</t>
  </si>
  <si>
    <t>shreeja</t>
  </si>
  <si>
    <t>male</t>
  </si>
  <si>
    <t>female</t>
  </si>
  <si>
    <t>above 12</t>
  </si>
  <si>
    <t>6yr to 12 yr</t>
  </si>
  <si>
    <t>below 6</t>
  </si>
  <si>
    <t>boy</t>
  </si>
  <si>
    <t>girl</t>
  </si>
  <si>
    <t>susiba</t>
  </si>
  <si>
    <t>gbs</t>
  </si>
  <si>
    <t>mhv</t>
  </si>
  <si>
    <t>abhishek</t>
  </si>
  <si>
    <t>renuka</t>
  </si>
  <si>
    <t>neha</t>
  </si>
  <si>
    <t>dhairya</t>
  </si>
  <si>
    <t>dhabu</t>
  </si>
  <si>
    <t>falguni</t>
  </si>
  <si>
    <t>pranjal</t>
  </si>
  <si>
    <t>dharmista</t>
  </si>
  <si>
    <t>sukrana</t>
  </si>
  <si>
    <t>haresh</t>
  </si>
  <si>
    <t>nita</t>
  </si>
  <si>
    <t>chitranjan</t>
  </si>
  <si>
    <t>nilu</t>
  </si>
  <si>
    <t>rachna</t>
  </si>
  <si>
    <t>vidhya</t>
  </si>
  <si>
    <t>paresh</t>
  </si>
  <si>
    <t>alpa</t>
  </si>
  <si>
    <t>OR</t>
  </si>
  <si>
    <t>van</t>
  </si>
  <si>
    <t>lion</t>
  </si>
  <si>
    <t>anat</t>
  </si>
  <si>
    <t>hall</t>
  </si>
  <si>
    <t>lawn</t>
  </si>
  <si>
    <t>room</t>
  </si>
  <si>
    <t>pool</t>
  </si>
  <si>
    <t>dinning</t>
  </si>
  <si>
    <t>budget</t>
  </si>
  <si>
    <t>food</t>
  </si>
  <si>
    <t>game</t>
  </si>
  <si>
    <t>gym</t>
  </si>
  <si>
    <t>parking</t>
  </si>
  <si>
    <t>highway</t>
  </si>
  <si>
    <t>home</t>
  </si>
  <si>
    <t>frd</t>
  </si>
  <si>
    <t>total</t>
  </si>
  <si>
    <t>decoration</t>
  </si>
  <si>
    <t>ticewood</t>
  </si>
  <si>
    <t>cricket</t>
  </si>
  <si>
    <t>music</t>
  </si>
  <si>
    <t>red carpet</t>
  </si>
  <si>
    <t>chori</t>
  </si>
  <si>
    <t>propose</t>
  </si>
  <si>
    <t>Date</t>
  </si>
  <si>
    <t>No. of Person</t>
  </si>
  <si>
    <t>Rate</t>
  </si>
  <si>
    <t>reception</t>
  </si>
  <si>
    <t>mandap</t>
  </si>
  <si>
    <t>stay</t>
  </si>
  <si>
    <t>tea</t>
  </si>
  <si>
    <t>mahendi</t>
  </si>
  <si>
    <t>bechlor party</t>
  </si>
  <si>
    <t>mecelinious</t>
  </si>
  <si>
    <t>car</t>
  </si>
  <si>
    <t>bansi</t>
  </si>
  <si>
    <t>cake cut</t>
  </si>
  <si>
    <t xml:space="preserve">enjoy </t>
  </si>
  <si>
    <t>dance</t>
  </si>
  <si>
    <t>8 to 8:30</t>
  </si>
  <si>
    <t>coffee</t>
  </si>
  <si>
    <t>thepla</t>
  </si>
  <si>
    <t>gathiya</t>
  </si>
  <si>
    <t>marcha</t>
  </si>
  <si>
    <t>place</t>
  </si>
  <si>
    <t>gadi sticker</t>
  </si>
  <si>
    <t>photoshot</t>
  </si>
  <si>
    <t>ladke wale VS ladki wale</t>
  </si>
  <si>
    <t>tug of war</t>
  </si>
  <si>
    <t>1 to 1:30</t>
  </si>
  <si>
    <t>svaruchi bhojan</t>
  </si>
  <si>
    <t>7 to 7:30</t>
  </si>
  <si>
    <t>hast medap</t>
  </si>
  <si>
    <t>city</t>
  </si>
  <si>
    <t>3 car ma sunroof ma bhavu weds yagu lakhilu hoi pachi mom dad ubha hoi</t>
  </si>
  <si>
    <t>phool, a3 size bhavu weds yagu(chart paper), car decoration, heart</t>
  </si>
  <si>
    <t>colorr bomb, yellow flowers, dj system</t>
  </si>
  <si>
    <t>BOLLYWOOD PARTY AWARDS</t>
  </si>
  <si>
    <t>Timeless Togetherness Award</t>
  </si>
  <si>
    <t>dada - susiba</t>
  </si>
  <si>
    <t>Evergreen Lovebirds Award</t>
  </si>
  <si>
    <t>"उम्र के हर पड़ाव पर, प्यार का रंग गहरा होता गया।"</t>
  </si>
  <si>
    <t>gbs - janvi</t>
  </si>
  <si>
    <t>mhv - fulva</t>
  </si>
  <si>
    <t>Sweet &amp; Simple Award</t>
  </si>
  <si>
    <t>"सादगी में भी है जो मिठास, वैसा है इनका साथ खास।"</t>
  </si>
  <si>
    <t>abhishek - arpita</t>
  </si>
  <si>
    <t>Young at Heart Award</t>
  </si>
  <si>
    <t>"दिल है जवान, मस्ती है भरपूर, इनका प्यार है सबसे मशहूर।"</t>
  </si>
  <si>
    <t>rvs - renuka</t>
  </si>
  <si>
    <t>"हर राह में साथ चलना, प्यार का असली मतलब बताना।"</t>
  </si>
  <si>
    <t>munjal - shivani</t>
  </si>
  <si>
    <t>Most Supportive Pair</t>
  </si>
  <si>
    <t>"साथ निभाना जिनकी आदत बन गई, वही असली मोहब्बत कहलाती है।"</t>
  </si>
  <si>
    <t>kiran - dipti</t>
  </si>
  <si>
    <t>Sunshine Pair Award</t>
  </si>
  <si>
    <t>"जहां ये हों साथ, वहां छा जाती है मुस्कान की बात।"</t>
  </si>
  <si>
    <t>Made for Each Other Award</t>
  </si>
  <si>
    <t>"कहते हैं रब ने बनाई जोड़ी, वो है राहुल और अनु की जोड़ी।"</t>
  </si>
  <si>
    <t>anand - heena</t>
  </si>
  <si>
    <t>Laughter Legends</t>
  </si>
  <si>
    <t>"जहां ये हों, हंसी खुद ब खुद चली आती है।"</t>
  </si>
  <si>
    <t>ankur - deepa</t>
  </si>
  <si>
    <t>Classy Couple Award</t>
  </si>
  <si>
    <t>"शालीनता और प्यार, इनसे बेहतर नहीं कोई प्यार।"</t>
  </si>
  <si>
    <t>kaushal - dhabu</t>
  </si>
  <si>
    <t>Inseparable Souls Award</t>
  </si>
  <si>
    <t>"रूह तक जुड़ गए हैं ये दो दिल, बस एक-दूजे के काबिल।"</t>
  </si>
  <si>
    <t>mayur - krishna</t>
  </si>
  <si>
    <t>Cherished Bond Award</t>
  </si>
  <si>
    <t>"प्रेम की धारा बहती रहे, साथ इनका यूं ही चलता रहे।"</t>
  </si>
  <si>
    <t>raj - falguni</t>
  </si>
  <si>
    <t>Graceful Duo Award</t>
  </si>
  <si>
    <t>"शांति, समझदारी और प्रेम का मेल, है इनका रिश्ता एक मिसाल।"</t>
  </si>
  <si>
    <t>pranjal - chechu</t>
  </si>
  <si>
    <t>"वक्त बदला, साल बदले, पर प्यार वही आज भी उजाला करे।"</t>
  </si>
  <si>
    <t>vishal - smita</t>
  </si>
  <si>
    <t>Harmony Award</t>
  </si>
  <si>
    <t>"जहां प्यार और समझ साथ हों, वहीं बसती है असली जन्नत।"</t>
  </si>
  <si>
    <t>bhavik - siddhi</t>
  </si>
  <si>
    <t>Radiant Romance Award</t>
  </si>
  <si>
    <t>"प्यार में जो चमक दिखे, वो है इनकी मोहब्बत की रौशनी।"</t>
  </si>
  <si>
    <t>Adorable Duo Award</t>
  </si>
  <si>
    <t>"मासूमियत और प्यार की मिसाल, इनकी जोड़ी सबसे कमाल।"</t>
  </si>
  <si>
    <t>raju - dharmista</t>
  </si>
  <si>
    <t>Forever Us Award</t>
  </si>
  <si>
    <t>"ना कोई शिकायत, ना कोई गिला – बस साथ ही काफी है जीने का सिलसिला।"</t>
  </si>
  <si>
    <t>kahan - khushali</t>
  </si>
  <si>
    <t>Joyful Journey Award</t>
  </si>
  <si>
    <t>"खुशियाँ जहां हो वहां इनका साथ भी ज़रूरी है।"</t>
  </si>
  <si>
    <t>kamal - vaibhavi</t>
  </si>
  <si>
    <t>Golden Hearts Award</t>
  </si>
  <si>
    <t>"दिलों में बसता है सोना, ऐसा प्यारा है इनका कोना।"</t>
  </si>
  <si>
    <t>Unity in Diversity Award</t>
  </si>
  <si>
    <t>"रंग अलग, बात अलग, पर प्यार में सब कुछ एक।"</t>
  </si>
  <si>
    <t>sandeep - wife</t>
  </si>
  <si>
    <t>Unbreakable Bond Award</t>
  </si>
  <si>
    <t>husband - amruta</t>
  </si>
  <si>
    <t>Soulful Synergy Award</t>
  </si>
  <si>
    <t>"संग जीना, संग मरना, है मोहब्बत की असली परिभाषा।"</t>
  </si>
  <si>
    <t>husband - jigna</t>
  </si>
  <si>
    <t>Lifetime Companions Award</t>
  </si>
  <si>
    <t>"हर लम्हा साथ गुजारें, यही है इनका प्यार सच्चा।"</t>
  </si>
  <si>
    <t>chitranjan - veena</t>
  </si>
  <si>
    <t>Best Vibes Together Award</t>
  </si>
  <si>
    <t>"जहां ये हों, वहां बसती है खुशियों की खुशबू।"</t>
  </si>
  <si>
    <t>haresh - nita</t>
  </si>
  <si>
    <t>Charming Companions Award</t>
  </si>
  <si>
    <t>"हँसी, मस्ती और प्यार से भरा, इनका रिश्ता बड़ा प्यारा।"</t>
  </si>
  <si>
    <t>nilu - jyoti</t>
  </si>
  <si>
    <t>Jodi No.1 Award</t>
  </si>
  <si>
    <t>"हर दिल की चाहत, हर पल की राहत – यही है इनकी जादुई बात।"</t>
  </si>
  <si>
    <t>pappu - dimple</t>
  </si>
  <si>
    <t>Perfect Match Award</t>
  </si>
  <si>
    <t>"जैसे चाँदनी को चाँद मिले, वैसे ये जोड़ी सबसे हसीन।"</t>
  </si>
  <si>
    <t>manu - yogita</t>
  </si>
  <si>
    <t>Silent Strength Award</t>
  </si>
  <si>
    <t>"कम बोलें मगर दिल से निभाएं, सच्चा प्यार यूं ही नजर आए।"</t>
  </si>
  <si>
    <t>gopal - rachna</t>
  </si>
  <si>
    <t>Endless Affection Award</t>
  </si>
  <si>
    <t>"हर दिन बढ़ता प्यार, हर पल मिलती बहार।"</t>
  </si>
  <si>
    <t>ketan - mayuri</t>
  </si>
  <si>
    <t>Peaceful Pair Award</t>
  </si>
  <si>
    <t>"शांति से चलता जीवन, है इनका रिश्ता सबसे सुंदर उदाहरण।"</t>
  </si>
  <si>
    <t>pranav - vidhya</t>
  </si>
  <si>
    <t>Incredible Understanding Award</t>
  </si>
  <si>
    <t>"बिना कहे समझ जाए जो दिल की बात, वही है सच्चा साथ।"</t>
  </si>
  <si>
    <t>shivagna - rachna</t>
  </si>
  <si>
    <t>True Companionship Award</t>
  </si>
  <si>
    <t>"दोस्ती और प्यार का मिलन, है इनकी जोड़ी का असली दर्पण।"</t>
  </si>
  <si>
    <t>Rishton Ke Taj – Bhavini aur Yagnesh</t>
  </si>
  <si>
    <t>yagnesh - bhavini</t>
  </si>
  <si>
    <t xml:space="preserve"> 25 साल पहले एक कहानी शुरू हुई थी,जहां साथ चलने की एक कसम ली थी
ना सिर्फ साथ निभाया, पर हर मोड़ पर मुस्कुराया,हर रिश्ते को प्रेम से सींचा, हर पल को अपनाया।</t>
  </si>
  <si>
    <t>nehamasi-masa</t>
  </si>
  <si>
    <t>Together Forever Award</t>
  </si>
  <si>
    <t>apurva-bansi</t>
  </si>
  <si>
    <t>Energetic couple</t>
  </si>
  <si>
    <t>jo har cheez me bolte hai sikho sikho aur sikhne k energy dekhate hai</t>
  </si>
  <si>
    <t>caring couple</t>
  </si>
  <si>
    <t>Har pal muskaan baante, dil se sabka khyaal rakhe.</t>
  </si>
  <si>
    <t>The Graceful Bond</t>
  </si>
  <si>
    <t>Saath chale, pyar se jude rahe.</t>
  </si>
  <si>
    <t>Power couple Award</t>
  </si>
  <si>
    <t>Saath mein hai jo, har mushkil raah aasaan lagti hai</t>
  </si>
  <si>
    <t>"साथ निभाना जैसे कसम हो दिल की, बंधन इनका कभी ना टूटे सिलसिला दिल ka"</t>
  </si>
  <si>
    <t>chetan-sonal</t>
  </si>
  <si>
    <t>kavya</t>
  </si>
  <si>
    <t>jigna chokro</t>
  </si>
  <si>
    <t>amruta chokro</t>
  </si>
  <si>
    <t>dhruv</t>
  </si>
  <si>
    <t>adhay</t>
  </si>
  <si>
    <t>The Calm Flame</t>
  </si>
  <si>
    <t>"Shaant swabhaav, par jazbaat mein hai aag ka daur."</t>
  </si>
  <si>
    <t>Kavan</t>
  </si>
  <si>
    <t>The Silent Star</t>
  </si>
  <si>
    <t>"Chup rehkar bhi, har dil pe raaj karna jaane."</t>
  </si>
  <si>
    <t>Shreeja</t>
  </si>
  <si>
    <t>Spark of Grace</t>
  </si>
  <si>
    <t>"Uski adaayein, jaise khilte phoolon ka noor."</t>
  </si>
  <si>
    <t>Light of the House</t>
  </si>
  <si>
    <t>"Chhoti si roshni, par har kone mein ujala."</t>
  </si>
  <si>
    <t>Aryan</t>
  </si>
  <si>
    <t>The Gentle Knight</t>
  </si>
  <si>
    <t>"Vinamrta ke saath, veerta ka sangam hai Aryan."</t>
  </si>
  <si>
    <t>Shailee</t>
  </si>
  <si>
    <t>Creative Soul</t>
  </si>
  <si>
    <t>"Har soch mein nayi rangat, har baat mein ek andaaz."</t>
  </si>
  <si>
    <t>Dhairya</t>
  </si>
  <si>
    <t>The Calm Leader</t>
  </si>
  <si>
    <t>"Naam jaisa hi swabhaav – sabr ka misaal."</t>
  </si>
  <si>
    <t>Jenish</t>
  </si>
  <si>
    <t>The Cool Mind</t>
  </si>
  <si>
    <t>"Muskaan aur soch – dono mein shaanti ka saath."</t>
  </si>
  <si>
    <t>Somya</t>
  </si>
  <si>
    <t>Serene Soul</t>
  </si>
  <si>
    <t>"Narmi se bhara, ek pyaara sa insaan."</t>
  </si>
  <si>
    <t>Adhay</t>
  </si>
  <si>
    <t>Curiosity Spark</t>
  </si>
  <si>
    <t>"Har sawaal mein chhupa hai uska naya jahaan."</t>
  </si>
  <si>
    <t>Krish</t>
  </si>
  <si>
    <t>Bright Blaze</t>
  </si>
  <si>
    <t>"Utsah se bhara, har pal mein bijli ka josh."</t>
  </si>
  <si>
    <t>Jeenil</t>
  </si>
  <si>
    <t>Vibe Setter</t>
  </si>
  <si>
    <t>"Jahan ho Jeenil, wahan ho positive energy ka feel."</t>
  </si>
  <si>
    <t>Rudraksh</t>
  </si>
  <si>
    <t>The Wise Soul</t>
  </si>
  <si>
    <t>"Gehrayi se bhara mann, aur aankhon mein samajh."</t>
  </si>
  <si>
    <t>Pihu</t>
  </si>
  <si>
    <t>The Soft Melody</t>
  </si>
  <si>
    <t>"Mithi boli aur komal soch ka pyaara sa geet."</t>
  </si>
  <si>
    <t>Vedant</t>
  </si>
  <si>
    <t>Thoughtful Spark</t>
  </si>
  <si>
    <t>"Har baat mein buddhi ka prakash, har kaam mein sanskaar."</t>
  </si>
  <si>
    <t>The Bold Heart</t>
  </si>
  <si>
    <t>"Jise darr na ho sach bolne ka, wahi asli Kabir hota hai."</t>
  </si>
  <si>
    <t>Pure Heart</t>
  </si>
  <si>
    <t>"Uska har kaam ek dua sa lagta hai."</t>
  </si>
  <si>
    <t>Harshil</t>
  </si>
  <si>
    <t>Smiling Soul</t>
  </si>
  <si>
    <t>"Muskurahat hi uska asli gehna hai."</t>
  </si>
  <si>
    <t>Vansh</t>
  </si>
  <si>
    <t>The Solid Vibe</t>
  </si>
  <si>
    <t>"Thos soch aur saaf dil – vansh ki pehchaan."</t>
  </si>
  <si>
    <t>Isha</t>
  </si>
  <si>
    <t>Sweet Sparkle</t>
  </si>
  <si>
    <t>"Har baat mein mithaas, har muskaan mein roshni."</t>
  </si>
  <si>
    <t>Dhruv</t>
  </si>
  <si>
    <t>Steady Star</t>
  </si>
  <si>
    <t>"Jo kabhi na hile, vo hai Dhruv tara ka dil."</t>
  </si>
  <si>
    <t>Joyful Energy</t>
  </si>
  <si>
    <t>Bright Spirit</t>
  </si>
  <si>
    <t>"Har nazar mein chamak, har baat mein ek chamakdaar soch."</t>
  </si>
  <si>
    <t>Prem</t>
  </si>
  <si>
    <t>Heart Giver</t>
  </si>
  <si>
    <t>"Naam ke saath jeeta hai, har dil mein Prem basaata hai."</t>
  </si>
  <si>
    <t>Vishala</t>
  </si>
  <si>
    <t>The Warm Smile</t>
  </si>
  <si>
    <t>"Har mulaqat mein pighal jaaye gussa bhi uski muskaan se."</t>
  </si>
  <si>
    <t>Kavya</t>
  </si>
  <si>
    <t>"Utsah jaisa, jahan ho ye wahan ho masti ka raag."</t>
  </si>
  <si>
    <t>The Pillar of Strength</t>
  </si>
  <si>
    <t>"Shaanti aur shakti ka sangam, Rudra ki misaal har dil mein amar."</t>
  </si>
  <si>
    <t>The Heart of Celebration</t>
  </si>
  <si>
    <t>Har pal ko banaya khushiyon ka tyohar, tu hai har jashn ki jaan aur pyaar."</t>
  </si>
  <si>
    <t>NAME</t>
  </si>
  <si>
    <t>AWARDS</t>
  </si>
  <si>
    <t>SHAYARI</t>
  </si>
  <si>
    <t>MEDALS</t>
  </si>
  <si>
    <t>COUPLE</t>
  </si>
  <si>
    <t>CHILD</t>
  </si>
  <si>
    <t>BA-DADA</t>
  </si>
  <si>
    <t>TROPHY</t>
  </si>
  <si>
    <t>SHIRT-SARI</t>
  </si>
  <si>
    <t>YBS</t>
  </si>
  <si>
    <t>mayank</t>
  </si>
  <si>
    <t>Upper</t>
  </si>
  <si>
    <t>Lower</t>
  </si>
  <si>
    <t>Total</t>
  </si>
  <si>
    <t>1Small</t>
  </si>
  <si>
    <t>2Big Bed</t>
  </si>
  <si>
    <t>1Big Bed</t>
  </si>
  <si>
    <t>Very Small</t>
  </si>
  <si>
    <t>ROOMS</t>
  </si>
  <si>
    <t>chotus</t>
  </si>
  <si>
    <t>neha masi</t>
  </si>
  <si>
    <t>2 Big Bed</t>
  </si>
  <si>
    <t>1small</t>
  </si>
  <si>
    <t>full</t>
  </si>
  <si>
    <t>2 BIG BED</t>
  </si>
  <si>
    <t>1 BIG BED</t>
  </si>
  <si>
    <t>mayunk</t>
  </si>
  <si>
    <t>1 SMALL BED</t>
  </si>
  <si>
    <t>hiral</t>
  </si>
  <si>
    <t>lucky</t>
  </si>
  <si>
    <t>or</t>
  </si>
  <si>
    <t>bacha</t>
  </si>
  <si>
    <t>family</t>
  </si>
  <si>
    <t>same</t>
  </si>
  <si>
    <t>rest</t>
  </si>
  <si>
    <t>2.30 pm</t>
  </si>
  <si>
    <t>107-B</t>
  </si>
  <si>
    <t>108-B</t>
  </si>
  <si>
    <t>109-B</t>
  </si>
  <si>
    <t>110-B</t>
  </si>
  <si>
    <t>207-B</t>
  </si>
  <si>
    <t>208-B</t>
  </si>
  <si>
    <t>209-B</t>
  </si>
  <si>
    <t>210-B</t>
  </si>
  <si>
    <t>dhar</t>
  </si>
  <si>
    <t>BACK SIDE</t>
  </si>
  <si>
    <t>CAR DIVIDE</t>
  </si>
  <si>
    <t>yash</t>
  </si>
  <si>
    <t>photo</t>
  </si>
  <si>
    <t>video</t>
  </si>
  <si>
    <t>No. of Car</t>
  </si>
  <si>
    <t>Left Person</t>
  </si>
  <si>
    <t>apoorva</t>
  </si>
  <si>
    <t>Extra car</t>
  </si>
  <si>
    <t xml:space="preserve">BKS </t>
  </si>
  <si>
    <t>Extra space</t>
  </si>
  <si>
    <t>Abhishek</t>
  </si>
  <si>
    <t>Haresh</t>
  </si>
  <si>
    <t>Ravi</t>
  </si>
  <si>
    <t>Driver</t>
  </si>
  <si>
    <t>person name</t>
  </si>
  <si>
    <t>veena,jijaji</t>
  </si>
  <si>
    <t>haresh(kahan)</t>
  </si>
  <si>
    <t>BKS(apoorva)</t>
  </si>
  <si>
    <t>krishna,mayur</t>
  </si>
  <si>
    <t>photo,video,krish</t>
  </si>
  <si>
    <t>Apoorva,Ravi</t>
  </si>
  <si>
    <t>raj,falguni,manu,yogita</t>
  </si>
  <si>
    <t>nilu,jyoti,alpa</t>
  </si>
  <si>
    <t>ravi chokri</t>
  </si>
  <si>
    <t>ravi chokro</t>
  </si>
  <si>
    <t>Dron</t>
  </si>
  <si>
    <t>H1</t>
  </si>
  <si>
    <t>H2</t>
  </si>
  <si>
    <t>H3</t>
  </si>
  <si>
    <t>H4</t>
  </si>
  <si>
    <t>H5</t>
  </si>
  <si>
    <t>Photo grapher</t>
  </si>
  <si>
    <t>Jimi</t>
  </si>
  <si>
    <t>Chandani</t>
  </si>
  <si>
    <t>Harit</t>
  </si>
  <si>
    <t>Vivek</t>
  </si>
  <si>
    <t>Somiya</t>
  </si>
  <si>
    <t>Gaurav</t>
  </si>
  <si>
    <t>Dushantmama</t>
  </si>
  <si>
    <t>Valmik</t>
  </si>
  <si>
    <t>Jigna</t>
  </si>
  <si>
    <t>Adai</t>
  </si>
  <si>
    <t>Niyati</t>
  </si>
  <si>
    <t>Chokro</t>
  </si>
  <si>
    <t>Chandai</t>
  </si>
  <si>
    <t>Harati</t>
  </si>
  <si>
    <t>TOTAL</t>
  </si>
  <si>
    <t xml:space="preserve">jimmy </t>
  </si>
  <si>
    <t>chandani</t>
  </si>
  <si>
    <t>adi</t>
  </si>
  <si>
    <t>kushagara</t>
  </si>
  <si>
    <t>trisha</t>
  </si>
  <si>
    <t>anjali</t>
  </si>
  <si>
    <t>Mayank-Hardika</t>
  </si>
  <si>
    <t>Ravi - Hiral</t>
  </si>
  <si>
    <t>Jimmy - Chandani</t>
  </si>
  <si>
    <t>Jigna - Valmik</t>
  </si>
  <si>
    <t>Soulful Companions Award</t>
  </si>
  <si>
    <t>Radiant Togetherness Award</t>
  </si>
  <si>
    <t>Graceful Bond Award</t>
  </si>
  <si>
    <t>Perfect Pairing Award</t>
  </si>
  <si>
    <t>दो आत्माएं, एक धड़कन — यही है इनकी सबसे बड़ी पहचान।"</t>
  </si>
  <si>
    <t>"सजधज कर नहीं, सादगी से भी जो रिश्ता निखरे — वही सच्चा प्यार है।"</t>
  </si>
  <si>
    <t>"हर लम्हा मुस्कराहटों से भरा, साथ इनका जैसे रौशनी से सजा।"</t>
  </si>
  <si>
    <t>"दिल से दिल जुड़ते रहे, हर मोड़ पर साथ बढ़ते रहे।"</t>
  </si>
  <si>
    <t>Rupal - Shailesh</t>
  </si>
  <si>
    <t>Paresh - alpa</t>
  </si>
  <si>
    <t>Karan - Charmi</t>
  </si>
  <si>
    <t>Mihir - Anjali</t>
  </si>
  <si>
    <t>Kalpesh - Jigna</t>
  </si>
  <si>
    <t>Perfect Union Award</t>
  </si>
  <si>
    <t>Ever After Together award</t>
  </si>
  <si>
    <t>Bond of a Lifetime award</t>
  </si>
  <si>
    <t>“आपका प्यार हर दिन नई कहानी लिखता रहे।"</t>
  </si>
  <si>
    <t>"प्यार वो नहीं जो दिखाया जाए, प्यार वो है जो निभाया जाए।”</t>
  </si>
  <si>
    <t>“आपके प्यार की खुशबू हर दिल को छूती रहे।"</t>
  </si>
  <si>
    <t>sailesh</t>
  </si>
  <si>
    <t>harsh</t>
  </si>
  <si>
    <t>Harsh</t>
  </si>
  <si>
    <t>Yash</t>
  </si>
  <si>
    <t>adhyay</t>
  </si>
  <si>
    <t>dakshesh</t>
  </si>
  <si>
    <t>Dakshesh</t>
  </si>
  <si>
    <t>mihir anjali boy</t>
  </si>
  <si>
    <t>hiral girl</t>
  </si>
  <si>
    <t>positive vibes award</t>
  </si>
  <si>
    <t>creative mind award</t>
  </si>
  <si>
    <t>fashion icon award</t>
  </si>
  <si>
    <t>little sunshine award</t>
  </si>
  <si>
    <t>stylish award</t>
  </si>
  <si>
    <t>forever dost award</t>
  </si>
  <si>
    <t>partner in crime award</t>
  </si>
  <si>
    <t>silent master award</t>
  </si>
  <si>
    <t>artful soul</t>
  </si>
  <si>
    <t>SBS</t>
  </si>
  <si>
    <t>MHV</t>
  </si>
  <si>
    <t xml:space="preserve">GBS </t>
  </si>
  <si>
    <t>Neha</t>
  </si>
  <si>
    <t>Hardika</t>
  </si>
  <si>
    <t>Anand</t>
  </si>
  <si>
    <t>Ankur</t>
  </si>
  <si>
    <t>Kaushal</t>
  </si>
  <si>
    <t>Mayur</t>
  </si>
  <si>
    <t>Pranjal</t>
  </si>
  <si>
    <t>Vishal</t>
  </si>
  <si>
    <t>Bhavik</t>
  </si>
  <si>
    <t>PPT</t>
  </si>
  <si>
    <t>SONG</t>
  </si>
  <si>
    <t>Morya</t>
  </si>
  <si>
    <t>har ada me besumaar kahani chupi hai</t>
  </si>
  <si>
    <t>apne sapno ko sach karne ki lagan hai usme</t>
  </si>
  <si>
    <t>khamoshi uski sabse badi takat hai</t>
  </si>
  <si>
    <t>dosti me dildar kaam me damdar</t>
  </si>
  <si>
    <t>yeh hai vo sathi , jo har pal ko bana dete hai yadgar kahani</t>
  </si>
  <si>
    <t>uski choti se bate bhi badi khushiya baat deti hai</t>
  </si>
  <si>
    <t>chote se chechre pr chamakta hai pura jahan</t>
  </si>
  <si>
    <t>uska swag hi uski asli pehchan hai</t>
  </si>
  <si>
    <t>uski kala me chupa hai pura jahan</t>
  </si>
  <si>
    <t>haste haste kat jaye raste</t>
  </si>
  <si>
    <t>hum sath sath hai</t>
  </si>
  <si>
    <t>mere humsafar</t>
  </si>
  <si>
    <t>ek tera sath hum dono</t>
  </si>
  <si>
    <t>gun guna rahe hai bhawre</t>
  </si>
  <si>
    <t>manu-yogita</t>
  </si>
  <si>
    <t>chacha hai tujko</t>
  </si>
  <si>
    <t xml:space="preserve"> bobby me shayar to nhi</t>
  </si>
  <si>
    <t>acha to hum chalte hai</t>
  </si>
  <si>
    <t>pyar hua ikar hua</t>
  </si>
  <si>
    <t>tere mere hotho pe</t>
  </si>
  <si>
    <t>apna j jivtar</t>
  </si>
  <si>
    <t>Live performance</t>
  </si>
  <si>
    <t>jo ek dusre k pure jeevan ke humsafar hain waise chitranjan dada or veena ba</t>
  </si>
  <si>
    <t>jisko dekh kar labz pe shyari aa jaye waise pappu kaku or dimpal kaki</t>
  </si>
  <si>
    <t>zindgi ka safar jo haste haste kat te hain waise chetanmama or sonal mami</t>
  </si>
  <si>
    <t>yeh jo chilaman hai</t>
  </si>
  <si>
    <t>Jinke sath main ekta hain, aur har pal kahte hain hum sath sath hain - waise raju mama &amp; dharmista mami, kahan bhaiya &amp; khushali bhabhi and kamal bhaiya &amp; vaibhavi bhabhi</t>
  </si>
  <si>
    <t>je potani j varta na raja ane rani che teva kalpesh mama ane jigna mami</t>
  </si>
  <si>
    <t>jinki kahani sunkar kali kali khil rahi hain waise paresh jijaji and alpa ben</t>
  </si>
  <si>
    <t>Ab milte hain rajesh khnna or leena ko , let's welcome nilu dada and jyoti dadi</t>
  </si>
  <si>
    <t>jo har pal ek dusre ko kehte hain chaha hai tujko waise manu mama and yogita</t>
  </si>
  <si>
    <t>aao ab milte hai ek pyar bhari jedo se… jigna aunty and valmik uncle</t>
  </si>
  <si>
    <t>jinke hotho pe mithe mithe geet hain waise jimmy bhai and chandani bhabhi</t>
  </si>
  <si>
    <t xml:space="preserve">aao ab dekhte hain rishi kapoor as ketan fua and shreedevi as mayuri fui ki ek jalak ko </t>
  </si>
  <si>
    <t xml:space="preserve">jinka sath puri zindgi ka hai… haresh dada or nita ba </t>
  </si>
  <si>
    <t xml:space="preserve">jinka pyar har din badhta hai waise gopal mama and rachna mami </t>
  </si>
  <si>
    <t>nayna</t>
  </si>
  <si>
    <t>daxa</t>
  </si>
  <si>
    <t>nalini</t>
  </si>
  <si>
    <t xml:space="preserve">pintu </t>
  </si>
  <si>
    <t>vipul-nayana</t>
  </si>
  <si>
    <t>mukesh-nalini</t>
  </si>
  <si>
    <t>bhadresh-ella</t>
  </si>
  <si>
    <t>Kalpnaben</t>
  </si>
  <si>
    <t>yogesh-meena</t>
  </si>
  <si>
    <t>daxaben</t>
  </si>
  <si>
    <t>mihir-anjali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</si>
</sst>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14"/>
      <color theme="1"/>
      <name val="Calibri"/>
      <family val="2"/>
      <scheme val="minor"/>
    </font>
    <font>
      <b/>
      <sz val="18"/>
      <color theme="1"/>
      <name val="Calibri"/>
      <family val="2"/>
      <scheme val="minor"/>
    </font>
    <font>
      <b/>
      <sz val="22"/>
      <color theme="1"/>
      <name val="Calibri"/>
      <family val="2"/>
      <scheme val="minor"/>
    </font>
    <font>
      <b/>
      <sz val="20"/>
      <color theme="1"/>
      <name val="Calibri"/>
      <family val="2"/>
      <scheme val="minor"/>
    </font>
    <font>
      <sz val="14"/>
      <color theme="1"/>
      <name val="Calibri"/>
      <family val="2"/>
      <scheme val="minor"/>
    </font>
    <font>
      <sz val="24"/>
      <color theme="1"/>
      <name val="Calibri"/>
      <family val="2"/>
      <scheme val="minor"/>
    </font>
    <font>
      <sz val="11"/>
      <color rgb="FFFF0000"/>
      <name val="Calibri"/>
      <family val="2"/>
      <scheme val="minor"/>
    </font>
    <font>
      <b/>
      <sz val="16"/>
      <color theme="1"/>
      <name val="Calibri"/>
      <family val="2"/>
      <scheme val="minor"/>
    </font>
    <font>
      <sz val="11"/>
      <color rgb="FFEE0000"/>
      <name val="Calibri"/>
      <family val="2"/>
      <scheme val="minor"/>
    </font>
    <font>
      <sz val="11"/>
      <color theme="8"/>
      <name val="Calibri"/>
      <family val="2"/>
      <scheme val="minor"/>
    </font>
    <font>
      <sz val="1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74">
    <xf numFmtId="0" fontId="0" fillId="0" borderId="0" xfId="0"/>
    <xf numFmtId="0" fontId="3" fillId="0" borderId="0" xfId="0" applyFont="1"/>
    <xf numFmtId="0" fontId="0" fillId="0" borderId="0" xfId="0" applyAlignment="1">
      <alignment horizontal="center" vertical="center"/>
    </xf>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1" fillId="0" borderId="0" xfId="0" applyFont="1"/>
    <xf numFmtId="0" fontId="3" fillId="0" borderId="0" xfId="0" applyFont="1" applyAlignment="1">
      <alignment vertical="center"/>
    </xf>
    <xf numFmtId="14" fontId="1" fillId="0" borderId="0" xfId="0" applyNumberFormat="1" applyFont="1"/>
    <xf numFmtId="18" fontId="0" fillId="0" borderId="0" xfId="0" applyNumberFormat="1"/>
    <xf numFmtId="14" fontId="5" fillId="0" borderId="0" xfId="0" applyNumberFormat="1" applyFont="1"/>
    <xf numFmtId="0" fontId="0" fillId="0" borderId="0" xfId="0" applyAlignment="1">
      <alignment wrapText="1"/>
    </xf>
    <xf numFmtId="0" fontId="6" fillId="0" borderId="0" xfId="0" applyFont="1"/>
    <xf numFmtId="16" fontId="0" fillId="0" borderId="0" xfId="0" applyNumberFormat="1"/>
    <xf numFmtId="0" fontId="0" fillId="0" borderId="2" xfId="0" applyBorder="1"/>
    <xf numFmtId="0" fontId="0" fillId="0" borderId="3" xfId="0" applyBorder="1"/>
    <xf numFmtId="0" fontId="0" fillId="0" borderId="4" xfId="0" applyBorder="1"/>
    <xf numFmtId="0" fontId="0" fillId="0" borderId="1" xfId="0" applyBorder="1"/>
    <xf numFmtId="14" fontId="0" fillId="0" borderId="0" xfId="0" applyNumberFormat="1"/>
    <xf numFmtId="20" fontId="0" fillId="0" borderId="0" xfId="0" applyNumberFormat="1"/>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0" fillId="0" borderId="5" xfId="0" applyBorder="1"/>
    <xf numFmtId="0" fontId="1" fillId="0" borderId="5" xfId="0" applyFont="1" applyBorder="1"/>
    <xf numFmtId="0" fontId="0" fillId="0" borderId="5" xfId="0" applyBorder="1" applyAlignment="1">
      <alignment wrapText="1"/>
    </xf>
    <xf numFmtId="0" fontId="1" fillId="0" borderId="5" xfId="0" applyFont="1" applyBorder="1" applyAlignment="1">
      <alignment vertical="center" wrapText="1"/>
    </xf>
    <xf numFmtId="0" fontId="0" fillId="0" borderId="5" xfId="0" applyBorder="1" applyAlignment="1">
      <alignment vertical="center" wrapText="1"/>
    </xf>
    <xf numFmtId="0" fontId="0" fillId="0" borderId="5" xfId="0" applyBorder="1" applyAlignment="1">
      <alignment vertical="center"/>
    </xf>
    <xf numFmtId="0" fontId="9" fillId="0" borderId="0" xfId="0" applyFont="1" applyAlignment="1">
      <alignment vertical="center"/>
    </xf>
    <xf numFmtId="0" fontId="6" fillId="0" borderId="0" xfId="0" applyFont="1" applyAlignment="1">
      <alignment vertical="center"/>
    </xf>
    <xf numFmtId="0" fontId="8" fillId="0" borderId="0" xfId="0" applyFont="1" applyAlignment="1">
      <alignment vertical="center"/>
    </xf>
    <xf numFmtId="0" fontId="8" fillId="0" borderId="0" xfId="0" applyFont="1"/>
    <xf numFmtId="0" fontId="10" fillId="0" borderId="0" xfId="0" applyFont="1" applyAlignment="1">
      <alignment vertical="center"/>
    </xf>
    <xf numFmtId="0" fontId="11" fillId="0" borderId="0" xfId="0" applyFont="1" applyAlignment="1">
      <alignment vertical="center"/>
    </xf>
    <xf numFmtId="0" fontId="1" fillId="0" borderId="0" xfId="0" applyFont="1" applyAlignment="1">
      <alignment horizontal="center" vertical="center"/>
    </xf>
    <xf numFmtId="0" fontId="0" fillId="0" borderId="7" xfId="0" applyBorder="1" applyAlignment="1">
      <alignment horizontal="center" vertical="center"/>
    </xf>
    <xf numFmtId="0" fontId="2" fillId="0" borderId="8"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5" xfId="0" applyBorder="1" applyAlignment="1">
      <alignment horizontal="center" vertical="center"/>
    </xf>
    <xf numFmtId="0" fontId="10" fillId="0" borderId="0" xfId="0" applyFont="1" applyAlignment="1">
      <alignment horizontal="center" vertical="center"/>
    </xf>
    <xf numFmtId="0" fontId="0" fillId="0" borderId="11" xfId="0" applyBorder="1" applyAlignment="1">
      <alignment horizontal="center" vertical="center"/>
    </xf>
    <xf numFmtId="0" fontId="2" fillId="0" borderId="0" xfId="0" applyFont="1" applyAlignment="1">
      <alignment horizontal="center" vertical="center"/>
    </xf>
    <xf numFmtId="0" fontId="0" fillId="0" borderId="12" xfId="0" applyBorder="1" applyAlignment="1">
      <alignment horizontal="center" vertical="center"/>
    </xf>
    <xf numFmtId="0" fontId="0" fillId="0" borderId="6"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8" fillId="0" borderId="0" xfId="0" applyFont="1" applyAlignment="1">
      <alignment horizontal="center" vertical="center"/>
    </xf>
    <xf numFmtId="0" fontId="11" fillId="0" borderId="0" xfId="0" applyFont="1" applyAlignment="1">
      <alignment horizontal="center" vertical="center"/>
    </xf>
    <xf numFmtId="0" fontId="2" fillId="2" borderId="0" xfId="0" applyFont="1" applyFill="1" applyAlignment="1">
      <alignment horizontal="center" vertical="center"/>
    </xf>
    <xf numFmtId="0" fontId="2" fillId="2" borderId="8"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9" xfId="0" applyFont="1" applyFill="1" applyBorder="1" applyAlignment="1">
      <alignment horizontal="center" vertical="center"/>
    </xf>
    <xf numFmtId="0" fontId="8" fillId="0" borderId="6" xfId="0" applyFont="1" applyBorder="1" applyAlignment="1">
      <alignment horizontal="center" vertical="center"/>
    </xf>
    <xf numFmtId="0" fontId="12" fillId="0" borderId="0" xfId="0" applyFont="1" applyAlignment="1">
      <alignment horizontal="center" vertical="center"/>
    </xf>
    <xf numFmtId="3" fontId="0" fillId="0" borderId="0" xfId="0" applyNumberFormat="1" applyAlignment="1">
      <alignment horizontal="center" vertical="center"/>
    </xf>
    <xf numFmtId="0" fontId="1" fillId="0" borderId="16" xfId="0" applyFont="1" applyBorder="1" applyAlignment="1">
      <alignment vertical="center" wrapText="1"/>
    </xf>
    <xf numFmtId="0" fontId="8" fillId="0" borderId="5" xfId="0" applyFont="1" applyBorder="1" applyAlignment="1">
      <alignment vertical="center" wrapText="1"/>
    </xf>
    <xf numFmtId="0" fontId="0" fillId="0" borderId="16" xfId="0" applyBorder="1" applyAlignment="1">
      <alignment vertical="center" wrapText="1"/>
    </xf>
    <xf numFmtId="0" fontId="0" fillId="0" borderId="17" xfId="0" applyBorder="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4" fillId="0" borderId="0" xfId="0" applyFont="1" applyAlignment="1">
      <alignment horizontal="center" vertical="center"/>
    </xf>
    <xf numFmtId="0" fontId="0" fillId="0" borderId="0" xfId="0" applyAlignment="1">
      <alignment horizontal="center"/>
    </xf>
    <xf numFmtId="0" fontId="3" fillId="0" borderId="0" xfId="0" applyFont="1" applyAlignment="1">
      <alignment horizontal="center"/>
    </xf>
    <xf numFmtId="0" fontId="1"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0" fontId="7" fillId="0" borderId="5" xfId="0" applyFont="1" applyBorder="1" applyAlignment="1">
      <alignment horizontal="center"/>
    </xf>
    <xf numFmtId="0" fontId="0" fillId="0" borderId="17" xfId="0" applyBorder="1" applyAlignment="1">
      <alignment horizontal="center" vertical="center"/>
    </xf>
    <xf numFmtId="0" fontId="0" fillId="0" borderId="0" xfId="0" applyAlignment="1">
      <alignment horizontal="left" wrapText="1"/>
    </xf>
    <xf numFmtId="0" fontId="1" fillId="0" borderId="0"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25</xdr:col>
      <xdr:colOff>601980</xdr:colOff>
      <xdr:row>6</xdr:row>
      <xdr:rowOff>76200</xdr:rowOff>
    </xdr:from>
    <xdr:to>
      <xdr:col>27</xdr:col>
      <xdr:colOff>7620</xdr:colOff>
      <xdr:row>6</xdr:row>
      <xdr:rowOff>91440</xdr:rowOff>
    </xdr:to>
    <xdr:cxnSp macro="">
      <xdr:nvCxnSpPr>
        <xdr:cNvPr id="3" name="Straight Connector 2">
          <a:extLst>
            <a:ext uri="{FF2B5EF4-FFF2-40B4-BE49-F238E27FC236}">
              <a16:creationId xmlns:a16="http://schemas.microsoft.com/office/drawing/2014/main" id="{CEB13783-00D3-3D1E-69A0-A91D3FFC6AF9}"/>
            </a:ext>
          </a:extLst>
        </xdr:cNvPr>
        <xdr:cNvCxnSpPr/>
      </xdr:nvCxnSpPr>
      <xdr:spPr>
        <a:xfrm>
          <a:off x="15841980" y="1181100"/>
          <a:ext cx="624840" cy="15240"/>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25</xdr:col>
      <xdr:colOff>594360</xdr:colOff>
      <xdr:row>6</xdr:row>
      <xdr:rowOff>167640</xdr:rowOff>
    </xdr:from>
    <xdr:to>
      <xdr:col>27</xdr:col>
      <xdr:colOff>0</xdr:colOff>
      <xdr:row>7</xdr:row>
      <xdr:rowOff>0</xdr:rowOff>
    </xdr:to>
    <xdr:cxnSp macro="">
      <xdr:nvCxnSpPr>
        <xdr:cNvPr id="6" name="Straight Connector 5">
          <a:extLst>
            <a:ext uri="{FF2B5EF4-FFF2-40B4-BE49-F238E27FC236}">
              <a16:creationId xmlns:a16="http://schemas.microsoft.com/office/drawing/2014/main" id="{F3EACA20-B783-42A3-B648-AAB884E2E55A}"/>
            </a:ext>
          </a:extLst>
        </xdr:cNvPr>
        <xdr:cNvCxnSpPr/>
      </xdr:nvCxnSpPr>
      <xdr:spPr>
        <a:xfrm>
          <a:off x="15834360" y="1272540"/>
          <a:ext cx="624840" cy="15240"/>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121920</xdr:colOff>
      <xdr:row>43</xdr:row>
      <xdr:rowOff>68580</xdr:rowOff>
    </xdr:from>
    <xdr:to>
      <xdr:col>18</xdr:col>
      <xdr:colOff>281940</xdr:colOff>
      <xdr:row>43</xdr:row>
      <xdr:rowOff>68580</xdr:rowOff>
    </xdr:to>
    <xdr:cxnSp macro="">
      <xdr:nvCxnSpPr>
        <xdr:cNvPr id="7" name="Straight Connector 6">
          <a:extLst>
            <a:ext uri="{FF2B5EF4-FFF2-40B4-BE49-F238E27FC236}">
              <a16:creationId xmlns:a16="http://schemas.microsoft.com/office/drawing/2014/main" id="{E8A24453-D34E-4F8A-BDC0-A33A5687226D}"/>
            </a:ext>
          </a:extLst>
        </xdr:cNvPr>
        <xdr:cNvCxnSpPr/>
      </xdr:nvCxnSpPr>
      <xdr:spPr>
        <a:xfrm>
          <a:off x="9875520" y="7955280"/>
          <a:ext cx="1379220" cy="0"/>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137160</xdr:colOff>
      <xdr:row>43</xdr:row>
      <xdr:rowOff>160020</xdr:rowOff>
    </xdr:from>
    <xdr:to>
      <xdr:col>18</xdr:col>
      <xdr:colOff>297180</xdr:colOff>
      <xdr:row>43</xdr:row>
      <xdr:rowOff>160020</xdr:rowOff>
    </xdr:to>
    <xdr:cxnSp macro="">
      <xdr:nvCxnSpPr>
        <xdr:cNvPr id="10" name="Straight Connector 9">
          <a:extLst>
            <a:ext uri="{FF2B5EF4-FFF2-40B4-BE49-F238E27FC236}">
              <a16:creationId xmlns:a16="http://schemas.microsoft.com/office/drawing/2014/main" id="{73594E85-0207-49D2-9AB4-B277F59731CF}"/>
            </a:ext>
          </a:extLst>
        </xdr:cNvPr>
        <xdr:cNvCxnSpPr/>
      </xdr:nvCxnSpPr>
      <xdr:spPr>
        <a:xfrm>
          <a:off x="9890760" y="8046720"/>
          <a:ext cx="1379220" cy="0"/>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13</xdr:col>
      <xdr:colOff>0</xdr:colOff>
      <xdr:row>32</xdr:row>
      <xdr:rowOff>0</xdr:rowOff>
    </xdr:from>
    <xdr:to>
      <xdr:col>13</xdr:col>
      <xdr:colOff>602974</xdr:colOff>
      <xdr:row>32</xdr:row>
      <xdr:rowOff>3313</xdr:rowOff>
    </xdr:to>
    <xdr:cxnSp macro="">
      <xdr:nvCxnSpPr>
        <xdr:cNvPr id="11" name="Straight Connector 10">
          <a:extLst>
            <a:ext uri="{FF2B5EF4-FFF2-40B4-BE49-F238E27FC236}">
              <a16:creationId xmlns:a16="http://schemas.microsoft.com/office/drawing/2014/main" id="{41AFBB3F-1F09-4A42-AF69-76306B0E6AB5}"/>
            </a:ext>
          </a:extLst>
        </xdr:cNvPr>
        <xdr:cNvCxnSpPr/>
      </xdr:nvCxnSpPr>
      <xdr:spPr>
        <a:xfrm>
          <a:off x="7924800" y="5860774"/>
          <a:ext cx="602974" cy="3313"/>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12</xdr:col>
      <xdr:colOff>601980</xdr:colOff>
      <xdr:row>31</xdr:row>
      <xdr:rowOff>99060</xdr:rowOff>
    </xdr:from>
    <xdr:to>
      <xdr:col>14</xdr:col>
      <xdr:colOff>6626</xdr:colOff>
      <xdr:row>31</xdr:row>
      <xdr:rowOff>99391</xdr:rowOff>
    </xdr:to>
    <xdr:cxnSp macro="">
      <xdr:nvCxnSpPr>
        <xdr:cNvPr id="13" name="Straight Connector 12">
          <a:extLst>
            <a:ext uri="{FF2B5EF4-FFF2-40B4-BE49-F238E27FC236}">
              <a16:creationId xmlns:a16="http://schemas.microsoft.com/office/drawing/2014/main" id="{C261631D-163E-452D-A100-DE263FE1F81F}"/>
            </a:ext>
          </a:extLst>
        </xdr:cNvPr>
        <xdr:cNvCxnSpPr/>
      </xdr:nvCxnSpPr>
      <xdr:spPr>
        <a:xfrm>
          <a:off x="7917180" y="5777617"/>
          <a:ext cx="623846" cy="331"/>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12</xdr:col>
      <xdr:colOff>601980</xdr:colOff>
      <xdr:row>60</xdr:row>
      <xdr:rowOff>82826</xdr:rowOff>
    </xdr:from>
    <xdr:to>
      <xdr:col>13</xdr:col>
      <xdr:colOff>602974</xdr:colOff>
      <xdr:row>60</xdr:row>
      <xdr:rowOff>83820</xdr:rowOff>
    </xdr:to>
    <xdr:cxnSp macro="">
      <xdr:nvCxnSpPr>
        <xdr:cNvPr id="14" name="Straight Connector 13">
          <a:extLst>
            <a:ext uri="{FF2B5EF4-FFF2-40B4-BE49-F238E27FC236}">
              <a16:creationId xmlns:a16="http://schemas.microsoft.com/office/drawing/2014/main" id="{3CA06B05-63AE-4FA1-B689-DFE2146831A9}"/>
            </a:ext>
          </a:extLst>
        </xdr:cNvPr>
        <xdr:cNvCxnSpPr/>
      </xdr:nvCxnSpPr>
      <xdr:spPr>
        <a:xfrm flipV="1">
          <a:off x="7917180" y="11181522"/>
          <a:ext cx="610594" cy="994"/>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13</xdr:col>
      <xdr:colOff>7620</xdr:colOff>
      <xdr:row>61</xdr:row>
      <xdr:rowOff>60960</xdr:rowOff>
    </xdr:from>
    <xdr:to>
      <xdr:col>14</xdr:col>
      <xdr:colOff>7620</xdr:colOff>
      <xdr:row>61</xdr:row>
      <xdr:rowOff>68580</xdr:rowOff>
    </xdr:to>
    <xdr:cxnSp macro="">
      <xdr:nvCxnSpPr>
        <xdr:cNvPr id="17" name="Straight Connector 16">
          <a:extLst>
            <a:ext uri="{FF2B5EF4-FFF2-40B4-BE49-F238E27FC236}">
              <a16:creationId xmlns:a16="http://schemas.microsoft.com/office/drawing/2014/main" id="{D1A0C0A9-1AA9-4916-A68F-9660F68C3464}"/>
            </a:ext>
          </a:extLst>
        </xdr:cNvPr>
        <xdr:cNvCxnSpPr/>
      </xdr:nvCxnSpPr>
      <xdr:spPr>
        <a:xfrm flipV="1">
          <a:off x="7932420" y="11369040"/>
          <a:ext cx="609600" cy="7620"/>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552659</xdr:colOff>
      <xdr:row>5</xdr:row>
      <xdr:rowOff>83736</xdr:rowOff>
    </xdr:from>
    <xdr:to>
      <xdr:col>13</xdr:col>
      <xdr:colOff>594528</xdr:colOff>
      <xdr:row>5</xdr:row>
      <xdr:rowOff>92109</xdr:rowOff>
    </xdr:to>
    <xdr:cxnSp macro="">
      <xdr:nvCxnSpPr>
        <xdr:cNvPr id="28" name="Straight Connector 27">
          <a:extLst>
            <a:ext uri="{FF2B5EF4-FFF2-40B4-BE49-F238E27FC236}">
              <a16:creationId xmlns:a16="http://schemas.microsoft.com/office/drawing/2014/main" id="{29D4B771-C11D-1D2A-7FD6-53CC8CAA87E9}"/>
            </a:ext>
          </a:extLst>
        </xdr:cNvPr>
        <xdr:cNvCxnSpPr/>
      </xdr:nvCxnSpPr>
      <xdr:spPr>
        <a:xfrm flipH="1">
          <a:off x="6054132" y="1013209"/>
          <a:ext cx="2486967" cy="837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552659</xdr:colOff>
      <xdr:row>5</xdr:row>
      <xdr:rowOff>85411</xdr:rowOff>
    </xdr:from>
    <xdr:to>
      <xdr:col>9</xdr:col>
      <xdr:colOff>571081</xdr:colOff>
      <xdr:row>29</xdr:row>
      <xdr:rowOff>75363</xdr:rowOff>
    </xdr:to>
    <xdr:cxnSp macro="">
      <xdr:nvCxnSpPr>
        <xdr:cNvPr id="30" name="Straight Connector 29">
          <a:extLst>
            <a:ext uri="{FF2B5EF4-FFF2-40B4-BE49-F238E27FC236}">
              <a16:creationId xmlns:a16="http://schemas.microsoft.com/office/drawing/2014/main" id="{1281A190-8E11-4E89-B4C0-D31027E892C0}"/>
            </a:ext>
          </a:extLst>
        </xdr:cNvPr>
        <xdr:cNvCxnSpPr/>
      </xdr:nvCxnSpPr>
      <xdr:spPr>
        <a:xfrm flipV="1">
          <a:off x="6054132" y="1014884"/>
          <a:ext cx="18422" cy="441960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552659</xdr:colOff>
      <xdr:row>29</xdr:row>
      <xdr:rowOff>58615</xdr:rowOff>
    </xdr:from>
    <xdr:to>
      <xdr:col>18</xdr:col>
      <xdr:colOff>435429</xdr:colOff>
      <xdr:row>29</xdr:row>
      <xdr:rowOff>83736</xdr:rowOff>
    </xdr:to>
    <xdr:cxnSp macro="">
      <xdr:nvCxnSpPr>
        <xdr:cNvPr id="33" name="Straight Connector 32">
          <a:extLst>
            <a:ext uri="{FF2B5EF4-FFF2-40B4-BE49-F238E27FC236}">
              <a16:creationId xmlns:a16="http://schemas.microsoft.com/office/drawing/2014/main" id="{1EC09859-A282-4B09-B81A-9220807269C2}"/>
            </a:ext>
          </a:extLst>
        </xdr:cNvPr>
        <xdr:cNvCxnSpPr/>
      </xdr:nvCxnSpPr>
      <xdr:spPr>
        <a:xfrm flipH="1" flipV="1">
          <a:off x="6054132" y="5417736"/>
          <a:ext cx="5384242" cy="2512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18</xdr:col>
      <xdr:colOff>430081</xdr:colOff>
      <xdr:row>29</xdr:row>
      <xdr:rowOff>83736</xdr:rowOff>
    </xdr:from>
    <xdr:to>
      <xdr:col>18</xdr:col>
      <xdr:colOff>430081</xdr:colOff>
      <xdr:row>30</xdr:row>
      <xdr:rowOff>167472</xdr:rowOff>
    </xdr:to>
    <xdr:cxnSp macro="">
      <xdr:nvCxnSpPr>
        <xdr:cNvPr id="37" name="Straight Connector 36">
          <a:extLst>
            <a:ext uri="{FF2B5EF4-FFF2-40B4-BE49-F238E27FC236}">
              <a16:creationId xmlns:a16="http://schemas.microsoft.com/office/drawing/2014/main" id="{907346F6-33CE-EC06-2E11-27500E0345C4}"/>
            </a:ext>
          </a:extLst>
        </xdr:cNvPr>
        <xdr:cNvCxnSpPr/>
      </xdr:nvCxnSpPr>
      <xdr:spPr>
        <a:xfrm>
          <a:off x="11430041" y="5357380"/>
          <a:ext cx="0" cy="26480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13931-0549-4D4F-9283-A6CA5058AE3F}">
  <dimension ref="A1:O123"/>
  <sheetViews>
    <sheetView zoomScale="61" zoomScaleNormal="61" workbookViewId="0">
      <selection activeCell="Q52" sqref="Q52"/>
    </sheetView>
  </sheetViews>
  <sheetFormatPr defaultRowHeight="14.4" x14ac:dyDescent="0.3"/>
  <cols>
    <col min="1" max="1" width="12.44140625" style="3" customWidth="1"/>
    <col min="2" max="2" width="16.33203125" style="3" customWidth="1"/>
    <col min="3" max="4" width="8.88671875" style="3"/>
    <col min="5" max="5" width="17.21875" style="3" customWidth="1"/>
    <col min="6" max="6" width="12.77734375" style="3" customWidth="1"/>
    <col min="7" max="8" width="8.88671875" style="3"/>
    <col min="9" max="9" width="12.6640625" style="3" customWidth="1"/>
    <col min="10" max="10" width="12.109375" style="3" customWidth="1"/>
    <col min="11" max="16384" width="8.88671875" style="3"/>
  </cols>
  <sheetData>
    <row r="1" spans="1:14" x14ac:dyDescent="0.3">
      <c r="A1" s="4" t="s">
        <v>0</v>
      </c>
    </row>
    <row r="2" spans="1:14" x14ac:dyDescent="0.3">
      <c r="C2" s="3" t="s">
        <v>300</v>
      </c>
      <c r="G2" s="3" t="s">
        <v>300</v>
      </c>
      <c r="K2" s="3" t="s">
        <v>300</v>
      </c>
    </row>
    <row r="3" spans="1:14" x14ac:dyDescent="0.3">
      <c r="A3" s="62" t="s">
        <v>1</v>
      </c>
      <c r="B3" s="3" t="s">
        <v>2</v>
      </c>
      <c r="E3" s="62" t="s">
        <v>109</v>
      </c>
      <c r="F3" s="3" t="s">
        <v>110</v>
      </c>
      <c r="I3" s="62" t="s">
        <v>185</v>
      </c>
      <c r="J3" s="3" t="s">
        <v>187</v>
      </c>
      <c r="M3" s="62" t="s">
        <v>268</v>
      </c>
      <c r="N3" s="3" t="s">
        <v>268</v>
      </c>
    </row>
    <row r="4" spans="1:14" x14ac:dyDescent="0.3">
      <c r="A4" s="62"/>
      <c r="B4" s="3" t="s">
        <v>3</v>
      </c>
      <c r="E4" s="62"/>
      <c r="F4" s="3" t="s">
        <v>111</v>
      </c>
      <c r="I4" s="62"/>
      <c r="J4" s="3" t="s">
        <v>188</v>
      </c>
      <c r="M4" s="62"/>
      <c r="N4" s="3" t="s">
        <v>64</v>
      </c>
    </row>
    <row r="5" spans="1:14" x14ac:dyDescent="0.3">
      <c r="A5" s="62"/>
      <c r="B5" s="3" t="s">
        <v>4</v>
      </c>
      <c r="E5" s="62" t="s">
        <v>112</v>
      </c>
      <c r="F5" s="3" t="s">
        <v>112</v>
      </c>
      <c r="I5" s="62"/>
      <c r="J5" s="3" t="s">
        <v>189</v>
      </c>
      <c r="M5" s="62"/>
      <c r="N5" s="3" t="s">
        <v>269</v>
      </c>
    </row>
    <row r="6" spans="1:14" x14ac:dyDescent="0.3">
      <c r="A6" s="62"/>
      <c r="B6" s="3" t="s">
        <v>5</v>
      </c>
      <c r="E6" s="62"/>
      <c r="F6" s="3" t="s">
        <v>113</v>
      </c>
      <c r="G6" s="3">
        <v>0</v>
      </c>
      <c r="I6" s="62"/>
      <c r="J6" s="3" t="s">
        <v>186</v>
      </c>
      <c r="M6" s="62"/>
      <c r="N6" s="3" t="s">
        <v>68</v>
      </c>
    </row>
    <row r="7" spans="1:14" x14ac:dyDescent="0.3">
      <c r="A7" s="62" t="s">
        <v>6</v>
      </c>
      <c r="B7" s="3" t="s">
        <v>8</v>
      </c>
      <c r="E7" s="62"/>
      <c r="F7" s="3" t="s">
        <v>114</v>
      </c>
      <c r="G7" s="3">
        <v>0</v>
      </c>
      <c r="I7" s="62"/>
      <c r="J7" s="3" t="s">
        <v>190</v>
      </c>
      <c r="M7" s="62"/>
      <c r="N7" s="3" t="s">
        <v>62</v>
      </c>
    </row>
    <row r="8" spans="1:14" x14ac:dyDescent="0.3">
      <c r="A8" s="62"/>
      <c r="B8" s="3" t="s">
        <v>7</v>
      </c>
      <c r="E8" s="62" t="s">
        <v>115</v>
      </c>
      <c r="F8" s="3" t="s">
        <v>115</v>
      </c>
      <c r="I8" s="62"/>
      <c r="J8" s="3" t="s">
        <v>191</v>
      </c>
      <c r="K8" s="3">
        <v>0</v>
      </c>
      <c r="M8" s="62"/>
      <c r="N8" s="3" t="s">
        <v>270</v>
      </c>
    </row>
    <row r="9" spans="1:14" x14ac:dyDescent="0.3">
      <c r="A9" s="62"/>
      <c r="B9" s="3" t="s">
        <v>9</v>
      </c>
      <c r="E9" s="62"/>
      <c r="F9" s="3" t="s">
        <v>116</v>
      </c>
      <c r="I9" s="62"/>
      <c r="J9" s="3" t="s">
        <v>192</v>
      </c>
      <c r="K9" s="3">
        <v>0</v>
      </c>
      <c r="M9" s="62"/>
      <c r="N9" s="3" t="s">
        <v>68</v>
      </c>
    </row>
    <row r="10" spans="1:14" x14ac:dyDescent="0.3">
      <c r="A10" s="62"/>
      <c r="B10" s="3" t="s">
        <v>10</v>
      </c>
      <c r="E10" s="62"/>
      <c r="F10" s="3" t="s">
        <v>117</v>
      </c>
      <c r="I10" s="62"/>
      <c r="J10" s="3" t="s">
        <v>167</v>
      </c>
      <c r="K10" s="3">
        <v>0</v>
      </c>
      <c r="M10" s="62"/>
      <c r="N10" s="3" t="s">
        <v>62</v>
      </c>
    </row>
    <row r="11" spans="1:14" x14ac:dyDescent="0.3">
      <c r="A11" s="62"/>
      <c r="B11" s="3" t="s">
        <v>22</v>
      </c>
      <c r="E11" s="62"/>
      <c r="F11" s="3" t="s">
        <v>118</v>
      </c>
      <c r="I11" s="62"/>
      <c r="J11" s="3" t="s">
        <v>193</v>
      </c>
      <c r="K11" s="3">
        <v>0</v>
      </c>
      <c r="M11" s="62" t="s">
        <v>271</v>
      </c>
      <c r="N11" s="3" t="s">
        <v>271</v>
      </c>
    </row>
    <row r="12" spans="1:14" x14ac:dyDescent="0.3">
      <c r="A12" s="62"/>
      <c r="B12" s="3" t="s">
        <v>24</v>
      </c>
      <c r="E12" s="62"/>
      <c r="F12" s="3" t="s">
        <v>119</v>
      </c>
      <c r="I12" s="62" t="s">
        <v>194</v>
      </c>
      <c r="J12" s="3" t="s">
        <v>194</v>
      </c>
      <c r="M12" s="62"/>
      <c r="N12" s="3" t="s">
        <v>272</v>
      </c>
    </row>
    <row r="13" spans="1:14" x14ac:dyDescent="0.3">
      <c r="A13" s="62"/>
      <c r="B13" s="3" t="s">
        <v>23</v>
      </c>
      <c r="C13" s="3">
        <v>0</v>
      </c>
      <c r="E13" s="62"/>
      <c r="F13" s="3" t="s">
        <v>120</v>
      </c>
      <c r="I13" s="62"/>
      <c r="J13" s="3" t="s">
        <v>195</v>
      </c>
      <c r="M13" s="62" t="s">
        <v>273</v>
      </c>
      <c r="N13" s="3" t="s">
        <v>274</v>
      </c>
    </row>
    <row r="14" spans="1:14" x14ac:dyDescent="0.3">
      <c r="A14" s="62"/>
      <c r="B14" s="3" t="s">
        <v>11</v>
      </c>
      <c r="C14" s="3">
        <v>0</v>
      </c>
      <c r="E14" s="62"/>
      <c r="F14" s="3" t="s">
        <v>121</v>
      </c>
      <c r="I14" s="62"/>
      <c r="J14" s="3" t="s">
        <v>196</v>
      </c>
      <c r="M14" s="62"/>
      <c r="N14" s="3" t="s">
        <v>68</v>
      </c>
    </row>
    <row r="15" spans="1:14" x14ac:dyDescent="0.3">
      <c r="A15" s="62" t="s">
        <v>12</v>
      </c>
      <c r="B15" s="3" t="s">
        <v>13</v>
      </c>
      <c r="E15" s="62"/>
      <c r="F15" s="3" t="s">
        <v>122</v>
      </c>
      <c r="G15" s="3">
        <v>0</v>
      </c>
      <c r="I15" s="62"/>
      <c r="J15" s="3" t="s">
        <v>197</v>
      </c>
      <c r="M15" s="62"/>
      <c r="N15" s="3" t="s">
        <v>275</v>
      </c>
    </row>
    <row r="16" spans="1:14" x14ac:dyDescent="0.3">
      <c r="A16" s="62"/>
      <c r="B16" s="3" t="s">
        <v>14</v>
      </c>
      <c r="E16" s="62"/>
      <c r="F16" s="3" t="s">
        <v>123</v>
      </c>
      <c r="G16" s="3">
        <v>0</v>
      </c>
      <c r="I16" s="62"/>
      <c r="J16" s="3" t="s">
        <v>198</v>
      </c>
      <c r="M16" s="62"/>
      <c r="N16" s="3" t="s">
        <v>62</v>
      </c>
    </row>
    <row r="17" spans="1:14" x14ac:dyDescent="0.3">
      <c r="A17" s="62"/>
      <c r="B17" s="3" t="s">
        <v>15</v>
      </c>
      <c r="C17" s="3">
        <v>0</v>
      </c>
      <c r="E17" s="62"/>
      <c r="F17" s="3" t="s">
        <v>124</v>
      </c>
      <c r="G17" s="3">
        <v>0</v>
      </c>
      <c r="I17" s="62"/>
      <c r="J17" s="3" t="s">
        <v>19</v>
      </c>
      <c r="M17" s="62" t="s">
        <v>276</v>
      </c>
      <c r="N17" s="3" t="s">
        <v>276</v>
      </c>
    </row>
    <row r="18" spans="1:14" x14ac:dyDescent="0.3">
      <c r="A18" s="62"/>
      <c r="B18" s="3" t="s">
        <v>17</v>
      </c>
      <c r="C18" s="3">
        <v>0</v>
      </c>
      <c r="E18" s="62" t="s">
        <v>125</v>
      </c>
      <c r="F18" s="3" t="s">
        <v>126</v>
      </c>
      <c r="I18" s="62"/>
      <c r="J18" s="3" t="s">
        <v>199</v>
      </c>
      <c r="M18" s="62"/>
      <c r="N18" s="3" t="s">
        <v>68</v>
      </c>
    </row>
    <row r="19" spans="1:14" x14ac:dyDescent="0.3">
      <c r="A19" s="62"/>
      <c r="B19" s="3" t="s">
        <v>16</v>
      </c>
      <c r="C19" s="3">
        <v>0</v>
      </c>
      <c r="E19" s="62"/>
      <c r="F19" s="3" t="s">
        <v>125</v>
      </c>
      <c r="I19" s="62" t="s">
        <v>200</v>
      </c>
      <c r="J19" s="3" t="s">
        <v>200</v>
      </c>
      <c r="M19" s="62" t="s">
        <v>283</v>
      </c>
      <c r="N19" s="3" t="s">
        <v>284</v>
      </c>
    </row>
    <row r="20" spans="1:14" x14ac:dyDescent="0.3">
      <c r="A20" s="62"/>
      <c r="B20" s="3" t="s">
        <v>21</v>
      </c>
      <c r="E20" s="62"/>
      <c r="F20" s="3" t="s">
        <v>127</v>
      </c>
      <c r="I20" s="62"/>
      <c r="J20" s="3" t="s">
        <v>201</v>
      </c>
      <c r="M20" s="62"/>
      <c r="N20" s="3" t="s">
        <v>68</v>
      </c>
    </row>
    <row r="21" spans="1:14" x14ac:dyDescent="0.3">
      <c r="A21" s="62"/>
      <c r="B21" s="3" t="s">
        <v>25</v>
      </c>
      <c r="E21" s="62" t="s">
        <v>128</v>
      </c>
      <c r="F21" s="3" t="s">
        <v>128</v>
      </c>
      <c r="I21" s="62"/>
      <c r="J21" s="3" t="s">
        <v>202</v>
      </c>
      <c r="M21" s="62" t="s">
        <v>277</v>
      </c>
      <c r="N21" s="3" t="s">
        <v>278</v>
      </c>
    </row>
    <row r="22" spans="1:14" x14ac:dyDescent="0.3">
      <c r="A22" s="62" t="s">
        <v>26</v>
      </c>
      <c r="B22" s="3" t="s">
        <v>27</v>
      </c>
      <c r="E22" s="62"/>
      <c r="F22" s="3" t="s">
        <v>129</v>
      </c>
      <c r="I22" s="62"/>
      <c r="J22" s="3" t="s">
        <v>68</v>
      </c>
      <c r="M22" s="62"/>
      <c r="N22" s="3" t="s">
        <v>277</v>
      </c>
    </row>
    <row r="23" spans="1:14" x14ac:dyDescent="0.3">
      <c r="A23" s="62"/>
      <c r="B23" s="3" t="s">
        <v>28</v>
      </c>
      <c r="E23" s="62"/>
      <c r="F23" s="3" t="s">
        <v>130</v>
      </c>
      <c r="I23" s="62"/>
      <c r="J23" s="3" t="s">
        <v>53</v>
      </c>
      <c r="M23" s="62"/>
      <c r="N23" s="3" t="s">
        <v>279</v>
      </c>
    </row>
    <row r="24" spans="1:14" x14ac:dyDescent="0.3">
      <c r="A24" s="62"/>
      <c r="B24" s="3" t="s">
        <v>29</v>
      </c>
      <c r="E24" s="62"/>
      <c r="F24" s="3" t="s">
        <v>131</v>
      </c>
      <c r="I24" s="62"/>
      <c r="J24" s="3" t="s">
        <v>203</v>
      </c>
      <c r="M24" s="62" t="s">
        <v>280</v>
      </c>
      <c r="N24" s="3" t="s">
        <v>281</v>
      </c>
    </row>
    <row r="25" spans="1:14" x14ac:dyDescent="0.3">
      <c r="A25" s="62"/>
      <c r="B25" s="3" t="s">
        <v>30</v>
      </c>
      <c r="E25" s="62"/>
      <c r="F25" s="3" t="s">
        <v>81</v>
      </c>
      <c r="I25" s="62"/>
      <c r="J25" s="3" t="s">
        <v>204</v>
      </c>
      <c r="M25" s="62"/>
      <c r="N25" s="3" t="s">
        <v>64</v>
      </c>
    </row>
    <row r="26" spans="1:14" x14ac:dyDescent="0.3">
      <c r="A26" s="62"/>
      <c r="B26" s="3" t="s">
        <v>31</v>
      </c>
      <c r="E26" s="62"/>
      <c r="F26" s="3" t="s">
        <v>132</v>
      </c>
      <c r="I26" s="62"/>
      <c r="J26" s="3" t="s">
        <v>68</v>
      </c>
      <c r="M26" s="62"/>
      <c r="N26" s="3" t="s">
        <v>280</v>
      </c>
    </row>
    <row r="27" spans="1:14" x14ac:dyDescent="0.3">
      <c r="A27" s="62"/>
      <c r="B27" s="3" t="s">
        <v>32</v>
      </c>
      <c r="E27" s="62" t="s">
        <v>133</v>
      </c>
      <c r="F27" s="3" t="s">
        <v>133</v>
      </c>
      <c r="I27" s="62" t="s">
        <v>205</v>
      </c>
      <c r="J27" s="3" t="s">
        <v>205</v>
      </c>
      <c r="M27" s="62" t="s">
        <v>282</v>
      </c>
      <c r="N27" s="3" t="s">
        <v>282</v>
      </c>
    </row>
    <row r="28" spans="1:14" x14ac:dyDescent="0.3">
      <c r="A28" s="62"/>
      <c r="B28" s="3" t="s">
        <v>33</v>
      </c>
      <c r="E28" s="62"/>
      <c r="F28" s="3" t="s">
        <v>134</v>
      </c>
      <c r="I28" s="62"/>
      <c r="J28" s="3" t="s">
        <v>206</v>
      </c>
      <c r="M28" s="62"/>
      <c r="N28" s="3" t="s">
        <v>68</v>
      </c>
    </row>
    <row r="29" spans="1:14" x14ac:dyDescent="0.3">
      <c r="A29" s="62" t="s">
        <v>34</v>
      </c>
      <c r="B29" s="3" t="s">
        <v>35</v>
      </c>
      <c r="E29" s="62" t="s">
        <v>135</v>
      </c>
      <c r="F29" s="3" t="s">
        <v>135</v>
      </c>
      <c r="I29" s="62"/>
      <c r="J29" s="3" t="s">
        <v>207</v>
      </c>
      <c r="K29" s="3">
        <v>0</v>
      </c>
      <c r="M29" s="62" t="s">
        <v>286</v>
      </c>
      <c r="N29" s="3" t="s">
        <v>286</v>
      </c>
    </row>
    <row r="30" spans="1:14" x14ac:dyDescent="0.3">
      <c r="A30" s="62"/>
      <c r="B30" s="3" t="s">
        <v>36</v>
      </c>
      <c r="E30" s="62"/>
      <c r="F30" s="3" t="s">
        <v>68</v>
      </c>
      <c r="I30" s="62"/>
      <c r="J30" s="3" t="s">
        <v>208</v>
      </c>
      <c r="K30" s="3">
        <v>0</v>
      </c>
      <c r="M30" s="62"/>
      <c r="N30" s="3" t="s">
        <v>68</v>
      </c>
    </row>
    <row r="31" spans="1:14" x14ac:dyDescent="0.3">
      <c r="A31" s="62"/>
      <c r="B31" s="3" t="s">
        <v>37</v>
      </c>
      <c r="E31" s="62"/>
      <c r="F31" s="3" t="s">
        <v>136</v>
      </c>
      <c r="I31" s="62"/>
      <c r="J31" s="3" t="s">
        <v>209</v>
      </c>
      <c r="K31" s="3">
        <v>0</v>
      </c>
      <c r="M31" s="63" t="s">
        <v>287</v>
      </c>
      <c r="N31" s="3" t="s">
        <v>288</v>
      </c>
    </row>
    <row r="32" spans="1:14" x14ac:dyDescent="0.3">
      <c r="A32" s="62"/>
      <c r="B32" s="3" t="s">
        <v>38</v>
      </c>
      <c r="E32" s="62"/>
      <c r="F32" s="3" t="s">
        <v>137</v>
      </c>
      <c r="I32" s="62"/>
      <c r="J32" s="3" t="s">
        <v>68</v>
      </c>
      <c r="K32" s="3">
        <v>0</v>
      </c>
      <c r="M32" s="63"/>
      <c r="N32" s="3" t="s">
        <v>68</v>
      </c>
    </row>
    <row r="33" spans="1:15" x14ac:dyDescent="0.3">
      <c r="A33" s="62"/>
      <c r="B33" s="3" t="s">
        <v>39</v>
      </c>
      <c r="E33" s="62"/>
      <c r="F33" s="3" t="s">
        <v>138</v>
      </c>
      <c r="I33" s="3" t="s">
        <v>210</v>
      </c>
      <c r="J33" s="3" t="s">
        <v>211</v>
      </c>
      <c r="M33" s="63" t="s">
        <v>289</v>
      </c>
      <c r="N33" s="3" t="s">
        <v>285</v>
      </c>
    </row>
    <row r="34" spans="1:15" x14ac:dyDescent="0.3">
      <c r="A34" s="62"/>
      <c r="B34" s="3" t="s">
        <v>40</v>
      </c>
      <c r="E34" s="62"/>
      <c r="F34" s="3" t="s">
        <v>64</v>
      </c>
      <c r="I34" s="62" t="s">
        <v>212</v>
      </c>
      <c r="J34" s="3" t="s">
        <v>212</v>
      </c>
      <c r="M34" s="63"/>
      <c r="N34" s="3" t="s">
        <v>68</v>
      </c>
    </row>
    <row r="35" spans="1:15" x14ac:dyDescent="0.3">
      <c r="A35" s="62"/>
      <c r="B35" s="3" t="s">
        <v>41</v>
      </c>
      <c r="E35" s="62" t="s">
        <v>139</v>
      </c>
      <c r="F35" s="3" t="s">
        <v>139</v>
      </c>
      <c r="I35" s="62"/>
      <c r="J35" s="3" t="s">
        <v>213</v>
      </c>
      <c r="M35" s="63" t="s">
        <v>290</v>
      </c>
      <c r="N35" s="3" t="s">
        <v>291</v>
      </c>
    </row>
    <row r="36" spans="1:15" x14ac:dyDescent="0.3">
      <c r="A36" s="62"/>
      <c r="B36" s="3" t="s">
        <v>42</v>
      </c>
      <c r="E36" s="62"/>
      <c r="F36" s="3" t="s">
        <v>64</v>
      </c>
      <c r="I36" s="62"/>
      <c r="J36" s="3" t="s">
        <v>214</v>
      </c>
      <c r="M36" s="63"/>
      <c r="N36" s="3" t="s">
        <v>68</v>
      </c>
    </row>
    <row r="37" spans="1:15" x14ac:dyDescent="0.3">
      <c r="A37" s="62"/>
      <c r="B37" s="3" t="s">
        <v>43</v>
      </c>
      <c r="C37" s="3">
        <v>0</v>
      </c>
      <c r="E37" s="62"/>
      <c r="F37" s="3" t="s">
        <v>140</v>
      </c>
      <c r="I37" s="62"/>
      <c r="J37" s="3" t="s">
        <v>215</v>
      </c>
      <c r="M37" s="63" t="s">
        <v>292</v>
      </c>
      <c r="N37" s="3" t="s">
        <v>293</v>
      </c>
    </row>
    <row r="38" spans="1:15" x14ac:dyDescent="0.3">
      <c r="A38" s="62"/>
      <c r="B38" s="3" t="s">
        <v>44</v>
      </c>
      <c r="C38" s="3">
        <v>0</v>
      </c>
      <c r="E38" s="62"/>
      <c r="F38" s="3" t="s">
        <v>64</v>
      </c>
      <c r="I38" s="62"/>
      <c r="J38" s="3" t="s">
        <v>216</v>
      </c>
      <c r="M38" s="63"/>
      <c r="N38" s="3" t="s">
        <v>68</v>
      </c>
    </row>
    <row r="39" spans="1:15" x14ac:dyDescent="0.3">
      <c r="A39" s="62" t="s">
        <v>45</v>
      </c>
      <c r="B39" s="3" t="s">
        <v>46</v>
      </c>
      <c r="E39" s="62"/>
      <c r="F39" s="3" t="s">
        <v>141</v>
      </c>
      <c r="I39" s="62"/>
      <c r="J39" s="3" t="s">
        <v>217</v>
      </c>
      <c r="M39" s="62" t="s">
        <v>294</v>
      </c>
      <c r="N39" s="3" t="s">
        <v>295</v>
      </c>
    </row>
    <row r="40" spans="1:15" x14ac:dyDescent="0.3">
      <c r="A40" s="62"/>
      <c r="B40" s="3" t="s">
        <v>47</v>
      </c>
      <c r="E40" s="62"/>
      <c r="F40" s="3" t="s">
        <v>68</v>
      </c>
      <c r="I40" s="62" t="s">
        <v>218</v>
      </c>
      <c r="J40" s="3" t="s">
        <v>218</v>
      </c>
      <c r="M40" s="62"/>
      <c r="N40" s="3" t="s">
        <v>295</v>
      </c>
    </row>
    <row r="41" spans="1:15" x14ac:dyDescent="0.3">
      <c r="A41" s="62"/>
      <c r="B41" s="3" t="s">
        <v>48</v>
      </c>
      <c r="E41" s="62" t="s">
        <v>142</v>
      </c>
      <c r="F41" s="3" t="s">
        <v>143</v>
      </c>
      <c r="I41" s="62"/>
      <c r="J41" s="3" t="s">
        <v>219</v>
      </c>
      <c r="M41" s="62"/>
      <c r="N41" s="3" t="s">
        <v>295</v>
      </c>
    </row>
    <row r="42" spans="1:15" x14ac:dyDescent="0.3">
      <c r="A42" s="62"/>
      <c r="B42" s="3" t="s">
        <v>49</v>
      </c>
      <c r="E42" s="62"/>
      <c r="F42" s="3" t="s">
        <v>144</v>
      </c>
      <c r="I42" s="62"/>
      <c r="J42" s="3" t="s">
        <v>220</v>
      </c>
      <c r="M42" s="62"/>
      <c r="N42" s="3" t="s">
        <v>295</v>
      </c>
    </row>
    <row r="43" spans="1:15" x14ac:dyDescent="0.3">
      <c r="A43" s="62"/>
      <c r="B43" s="3" t="s">
        <v>50</v>
      </c>
      <c r="E43" s="62"/>
      <c r="F43" s="3" t="s">
        <v>64</v>
      </c>
      <c r="I43" s="62" t="s">
        <v>221</v>
      </c>
      <c r="J43" s="3" t="s">
        <v>221</v>
      </c>
      <c r="M43" s="62"/>
      <c r="N43" s="3" t="s">
        <v>295</v>
      </c>
    </row>
    <row r="44" spans="1:15" x14ac:dyDescent="0.3">
      <c r="A44" s="62"/>
      <c r="B44" s="3" t="s">
        <v>51</v>
      </c>
      <c r="E44" s="62"/>
      <c r="F44" s="3" t="s">
        <v>145</v>
      </c>
      <c r="I44" s="62"/>
      <c r="J44" s="3" t="s">
        <v>222</v>
      </c>
    </row>
    <row r="45" spans="1:15" x14ac:dyDescent="0.3">
      <c r="A45" s="62"/>
      <c r="B45" s="3" t="s">
        <v>52</v>
      </c>
      <c r="C45" s="3">
        <v>0</v>
      </c>
      <c r="E45" s="62"/>
      <c r="F45" s="3" t="s">
        <v>146</v>
      </c>
      <c r="I45" s="62"/>
      <c r="J45" s="3" t="s">
        <v>223</v>
      </c>
    </row>
    <row r="46" spans="1:15" x14ac:dyDescent="0.3">
      <c r="A46" s="62"/>
      <c r="B46" s="3" t="s">
        <v>53</v>
      </c>
      <c r="C46" s="3">
        <v>0</v>
      </c>
      <c r="E46" s="62" t="s">
        <v>147</v>
      </c>
      <c r="F46" s="3" t="s">
        <v>147</v>
      </c>
      <c r="I46" s="62"/>
      <c r="J46" s="3" t="s">
        <v>65</v>
      </c>
    </row>
    <row r="47" spans="1:15" x14ac:dyDescent="0.3">
      <c r="A47" s="62"/>
      <c r="B47" s="3" t="s">
        <v>54</v>
      </c>
      <c r="C47" s="3">
        <v>0</v>
      </c>
      <c r="E47" s="62"/>
      <c r="F47" s="3" t="s">
        <v>148</v>
      </c>
      <c r="I47" s="62"/>
      <c r="J47" s="3" t="s">
        <v>224</v>
      </c>
    </row>
    <row r="48" spans="1:15" x14ac:dyDescent="0.3">
      <c r="A48" s="62"/>
      <c r="B48" s="3" t="s">
        <v>55</v>
      </c>
      <c r="E48" s="62"/>
      <c r="F48" s="3" t="s">
        <v>149</v>
      </c>
      <c r="I48" s="62"/>
      <c r="J48" s="3" t="s">
        <v>225</v>
      </c>
      <c r="O48" s="3" t="s">
        <v>300</v>
      </c>
    </row>
    <row r="49" spans="1:15" x14ac:dyDescent="0.3">
      <c r="A49" s="62"/>
      <c r="B49" s="3" t="s">
        <v>56</v>
      </c>
      <c r="E49" s="62" t="s">
        <v>150</v>
      </c>
      <c r="F49" s="3" t="s">
        <v>151</v>
      </c>
      <c r="I49" s="62"/>
      <c r="J49" s="3" t="s">
        <v>137</v>
      </c>
      <c r="M49" s="3" t="s">
        <v>296</v>
      </c>
      <c r="N49" s="3">
        <v>120</v>
      </c>
      <c r="O49" s="3">
        <v>33</v>
      </c>
    </row>
    <row r="50" spans="1:15" x14ac:dyDescent="0.3">
      <c r="A50" s="62" t="s">
        <v>57</v>
      </c>
      <c r="B50" s="3" t="s">
        <v>58</v>
      </c>
      <c r="E50" s="62"/>
      <c r="F50" s="3" t="s">
        <v>64</v>
      </c>
      <c r="I50" s="62"/>
      <c r="J50" s="3" t="s">
        <v>155</v>
      </c>
      <c r="M50" s="3" t="s">
        <v>297</v>
      </c>
      <c r="N50" s="3">
        <v>99</v>
      </c>
      <c r="O50" s="3">
        <v>19</v>
      </c>
    </row>
    <row r="51" spans="1:15" x14ac:dyDescent="0.3">
      <c r="A51" s="62"/>
      <c r="B51" s="3" t="s">
        <v>59</v>
      </c>
      <c r="E51" s="62" t="s">
        <v>152</v>
      </c>
      <c r="F51" s="3" t="s">
        <v>153</v>
      </c>
      <c r="I51" s="62"/>
      <c r="J51" s="3" t="s">
        <v>226</v>
      </c>
      <c r="M51" s="3" t="s">
        <v>298</v>
      </c>
      <c r="N51" s="3">
        <v>121</v>
      </c>
      <c r="O51" s="3">
        <v>32</v>
      </c>
    </row>
    <row r="52" spans="1:15" x14ac:dyDescent="0.3">
      <c r="A52" s="62"/>
      <c r="B52" s="3" t="s">
        <v>60</v>
      </c>
      <c r="E52" s="62"/>
      <c r="F52" s="3" t="s">
        <v>52</v>
      </c>
      <c r="I52" s="62"/>
      <c r="J52" s="3" t="s">
        <v>62</v>
      </c>
      <c r="M52" s="3" t="s">
        <v>299</v>
      </c>
      <c r="N52" s="3">
        <v>41</v>
      </c>
    </row>
    <row r="53" spans="1:15" x14ac:dyDescent="0.3">
      <c r="A53" s="62"/>
      <c r="B53" s="3" t="s">
        <v>61</v>
      </c>
      <c r="E53" s="62"/>
      <c r="F53" s="3" t="s">
        <v>154</v>
      </c>
      <c r="I53" s="62" t="s">
        <v>57</v>
      </c>
      <c r="J53" s="3" t="s">
        <v>57</v>
      </c>
    </row>
    <row r="54" spans="1:15" ht="18" x14ac:dyDescent="0.3">
      <c r="A54" s="62"/>
      <c r="B54" s="3" t="s">
        <v>62</v>
      </c>
      <c r="E54" s="62"/>
      <c r="F54" s="3" t="s">
        <v>68</v>
      </c>
      <c r="I54" s="62"/>
      <c r="J54" s="3" t="s">
        <v>227</v>
      </c>
      <c r="N54" s="5">
        <f>SUM(N49:N52)</f>
        <v>381</v>
      </c>
      <c r="O54" s="3">
        <f>SUM(O49:O51)</f>
        <v>84</v>
      </c>
    </row>
    <row r="55" spans="1:15" x14ac:dyDescent="0.3">
      <c r="A55" s="62"/>
      <c r="B55" s="3" t="s">
        <v>63</v>
      </c>
      <c r="C55" s="3">
        <v>0</v>
      </c>
      <c r="E55" s="62"/>
      <c r="F55" s="3" t="s">
        <v>155</v>
      </c>
      <c r="I55" s="62"/>
      <c r="J55" s="3" t="s">
        <v>228</v>
      </c>
    </row>
    <row r="56" spans="1:15" ht="28.8" x14ac:dyDescent="0.3">
      <c r="A56" s="62"/>
      <c r="B56" s="3" t="s">
        <v>64</v>
      </c>
      <c r="C56" s="3">
        <v>0</v>
      </c>
      <c r="E56" s="62"/>
      <c r="F56" s="3" t="s">
        <v>156</v>
      </c>
      <c r="G56" s="3">
        <v>0</v>
      </c>
      <c r="I56" s="62"/>
      <c r="J56" s="3" t="s">
        <v>229</v>
      </c>
      <c r="N56" s="64">
        <v>297</v>
      </c>
      <c r="O56" s="64"/>
    </row>
    <row r="57" spans="1:15" x14ac:dyDescent="0.3">
      <c r="A57" s="62"/>
      <c r="B57" s="3" t="s">
        <v>62</v>
      </c>
      <c r="C57" s="3">
        <v>0</v>
      </c>
      <c r="E57" s="62" t="s">
        <v>157</v>
      </c>
      <c r="F57" s="3" t="s">
        <v>157</v>
      </c>
      <c r="I57" s="62"/>
      <c r="J57" s="3" t="s">
        <v>62</v>
      </c>
    </row>
    <row r="58" spans="1:15" x14ac:dyDescent="0.3">
      <c r="A58" s="62"/>
      <c r="B58" s="3" t="s">
        <v>65</v>
      </c>
      <c r="E58" s="62"/>
      <c r="F58" s="3" t="s">
        <v>158</v>
      </c>
      <c r="I58" s="62" t="s">
        <v>230</v>
      </c>
      <c r="J58" s="3" t="s">
        <v>230</v>
      </c>
    </row>
    <row r="59" spans="1:15" x14ac:dyDescent="0.3">
      <c r="A59" s="62"/>
      <c r="B59" s="3" t="s">
        <v>64</v>
      </c>
      <c r="E59" s="62"/>
      <c r="F59" s="3" t="s">
        <v>159</v>
      </c>
      <c r="I59" s="62"/>
      <c r="J59" s="3" t="s">
        <v>231</v>
      </c>
    </row>
    <row r="60" spans="1:15" x14ac:dyDescent="0.3">
      <c r="A60" s="62"/>
      <c r="B60" s="3" t="s">
        <v>62</v>
      </c>
      <c r="E60" s="62"/>
      <c r="F60" s="3" t="s">
        <v>160</v>
      </c>
      <c r="I60" s="62"/>
      <c r="J60" s="3" t="s">
        <v>232</v>
      </c>
    </row>
    <row r="61" spans="1:15" x14ac:dyDescent="0.3">
      <c r="A61" s="62" t="s">
        <v>66</v>
      </c>
      <c r="B61" s="3" t="s">
        <v>67</v>
      </c>
      <c r="C61" s="3">
        <v>0</v>
      </c>
      <c r="E61" s="62"/>
      <c r="F61" s="3" t="s">
        <v>62</v>
      </c>
      <c r="I61" s="62"/>
      <c r="J61" s="3" t="s">
        <v>68</v>
      </c>
    </row>
    <row r="62" spans="1:15" x14ac:dyDescent="0.3">
      <c r="A62" s="62"/>
      <c r="B62" s="3" t="s">
        <v>68</v>
      </c>
      <c r="C62" s="3">
        <v>0</v>
      </c>
      <c r="E62" s="62"/>
      <c r="F62" s="3" t="s">
        <v>62</v>
      </c>
      <c r="I62" s="62"/>
      <c r="J62" s="3" t="s">
        <v>155</v>
      </c>
      <c r="K62" s="3">
        <v>0</v>
      </c>
    </row>
    <row r="63" spans="1:15" x14ac:dyDescent="0.3">
      <c r="A63" s="62" t="s">
        <v>69</v>
      </c>
      <c r="B63" s="3" t="s">
        <v>70</v>
      </c>
      <c r="E63" s="62"/>
      <c r="F63" s="3" t="s">
        <v>161</v>
      </c>
      <c r="I63" s="62"/>
      <c r="J63" s="3" t="s">
        <v>233</v>
      </c>
      <c r="K63" s="3">
        <v>0</v>
      </c>
    </row>
    <row r="64" spans="1:15" x14ac:dyDescent="0.3">
      <c r="A64" s="62"/>
      <c r="B64" s="3" t="s">
        <v>71</v>
      </c>
      <c r="E64" s="62"/>
      <c r="F64" s="3" t="s">
        <v>120</v>
      </c>
      <c r="I64" s="62"/>
      <c r="J64" s="3" t="s">
        <v>62</v>
      </c>
      <c r="K64" s="3">
        <v>0</v>
      </c>
    </row>
    <row r="65" spans="1:11" x14ac:dyDescent="0.3">
      <c r="A65" s="62"/>
      <c r="B65" s="3" t="s">
        <v>72</v>
      </c>
      <c r="E65" s="62"/>
      <c r="F65" s="3" t="s">
        <v>62</v>
      </c>
      <c r="I65" s="62"/>
      <c r="J65" s="3" t="s">
        <v>62</v>
      </c>
      <c r="K65" s="3">
        <v>0</v>
      </c>
    </row>
    <row r="66" spans="1:11" x14ac:dyDescent="0.3">
      <c r="A66" s="62"/>
      <c r="B66" s="3" t="s">
        <v>73</v>
      </c>
      <c r="E66" s="62" t="s">
        <v>165</v>
      </c>
      <c r="F66" s="3" t="s">
        <v>166</v>
      </c>
      <c r="I66" s="62" t="s">
        <v>212</v>
      </c>
      <c r="J66" s="3" t="s">
        <v>234</v>
      </c>
    </row>
    <row r="67" spans="1:11" x14ac:dyDescent="0.3">
      <c r="A67" s="62"/>
      <c r="B67" s="3" t="s">
        <v>74</v>
      </c>
      <c r="E67" s="62"/>
      <c r="F67" s="3" t="s">
        <v>68</v>
      </c>
      <c r="I67" s="62"/>
      <c r="J67" s="3" t="s">
        <v>235</v>
      </c>
    </row>
    <row r="68" spans="1:11" x14ac:dyDescent="0.3">
      <c r="A68" s="62"/>
      <c r="B68" s="3" t="s">
        <v>75</v>
      </c>
      <c r="E68" s="62"/>
      <c r="F68" s="3" t="s">
        <v>167</v>
      </c>
      <c r="G68" s="3">
        <v>0</v>
      </c>
      <c r="I68" s="62" t="s">
        <v>236</v>
      </c>
      <c r="J68" s="3" t="s">
        <v>236</v>
      </c>
    </row>
    <row r="69" spans="1:11" x14ac:dyDescent="0.3">
      <c r="A69" s="62"/>
      <c r="B69" s="3" t="s">
        <v>76</v>
      </c>
      <c r="E69" s="62"/>
      <c r="F69" s="3" t="s">
        <v>68</v>
      </c>
      <c r="G69" s="3">
        <v>0</v>
      </c>
      <c r="I69" s="62"/>
      <c r="J69" s="3" t="s">
        <v>237</v>
      </c>
    </row>
    <row r="70" spans="1:11" x14ac:dyDescent="0.3">
      <c r="A70" s="62"/>
      <c r="B70" s="3" t="s">
        <v>77</v>
      </c>
      <c r="C70" s="3">
        <v>0</v>
      </c>
      <c r="E70" s="62" t="s">
        <v>168</v>
      </c>
      <c r="F70" s="3" t="s">
        <v>168</v>
      </c>
      <c r="I70" s="62"/>
      <c r="J70" s="3" t="s">
        <v>238</v>
      </c>
    </row>
    <row r="71" spans="1:11" x14ac:dyDescent="0.3">
      <c r="A71" s="62"/>
      <c r="B71" s="3" t="s">
        <v>78</v>
      </c>
      <c r="C71" s="3">
        <v>0</v>
      </c>
      <c r="E71" s="62"/>
      <c r="F71" s="3" t="s">
        <v>169</v>
      </c>
      <c r="I71" s="62"/>
      <c r="J71" s="3" t="s">
        <v>239</v>
      </c>
    </row>
    <row r="72" spans="1:11" x14ac:dyDescent="0.3">
      <c r="A72" s="62"/>
      <c r="B72" s="3" t="s">
        <v>79</v>
      </c>
      <c r="C72" s="3">
        <v>0</v>
      </c>
      <c r="E72" s="62"/>
      <c r="F72" s="3" t="s">
        <v>170</v>
      </c>
      <c r="I72" s="62"/>
      <c r="J72" s="3" t="s">
        <v>240</v>
      </c>
    </row>
    <row r="73" spans="1:11" x14ac:dyDescent="0.3">
      <c r="A73" s="62"/>
      <c r="B73" s="3" t="s">
        <v>56</v>
      </c>
      <c r="E73" s="62"/>
      <c r="F73" s="3" t="s">
        <v>64</v>
      </c>
      <c r="I73" s="62"/>
      <c r="J73" s="3" t="s">
        <v>241</v>
      </c>
    </row>
    <row r="74" spans="1:11" x14ac:dyDescent="0.3">
      <c r="A74" s="62"/>
      <c r="B74" s="3" t="s">
        <v>80</v>
      </c>
      <c r="E74" s="62"/>
      <c r="F74" s="3" t="s">
        <v>171</v>
      </c>
      <c r="I74" s="62"/>
      <c r="J74" s="3" t="s">
        <v>242</v>
      </c>
    </row>
    <row r="75" spans="1:11" x14ac:dyDescent="0.3">
      <c r="A75" s="62"/>
      <c r="B75" s="3" t="s">
        <v>81</v>
      </c>
      <c r="E75" s="62"/>
      <c r="F75" s="3" t="s">
        <v>62</v>
      </c>
      <c r="I75" s="62"/>
      <c r="J75" s="3" t="s">
        <v>243</v>
      </c>
    </row>
    <row r="76" spans="1:11" x14ac:dyDescent="0.3">
      <c r="A76" s="62"/>
      <c r="B76" s="3" t="s">
        <v>68</v>
      </c>
      <c r="E76" s="62" t="s">
        <v>172</v>
      </c>
      <c r="F76" s="3" t="s">
        <v>172</v>
      </c>
      <c r="I76" s="62"/>
      <c r="J76" s="3" t="s">
        <v>180</v>
      </c>
    </row>
    <row r="77" spans="1:11" x14ac:dyDescent="0.3">
      <c r="A77" s="62"/>
      <c r="B77" s="3" t="s">
        <v>82</v>
      </c>
      <c r="E77" s="62"/>
      <c r="F77" s="3" t="s">
        <v>173</v>
      </c>
      <c r="I77" s="62"/>
      <c r="J77" s="3" t="s">
        <v>219</v>
      </c>
    </row>
    <row r="78" spans="1:11" x14ac:dyDescent="0.3">
      <c r="A78" s="62"/>
      <c r="B78" s="3" t="s">
        <v>83</v>
      </c>
      <c r="C78" s="3">
        <v>0</v>
      </c>
      <c r="E78" s="62"/>
      <c r="F78" s="3" t="s">
        <v>174</v>
      </c>
      <c r="I78" s="62"/>
      <c r="J78" s="3" t="s">
        <v>64</v>
      </c>
    </row>
    <row r="79" spans="1:11" x14ac:dyDescent="0.3">
      <c r="A79" s="62"/>
      <c r="B79" s="3" t="s">
        <v>84</v>
      </c>
      <c r="C79" s="3">
        <v>0</v>
      </c>
      <c r="E79" s="62"/>
      <c r="F79" s="3" t="s">
        <v>175</v>
      </c>
      <c r="G79" s="3">
        <v>0</v>
      </c>
      <c r="I79" s="62"/>
      <c r="J79" s="3" t="s">
        <v>62</v>
      </c>
    </row>
    <row r="80" spans="1:11" x14ac:dyDescent="0.3">
      <c r="A80" s="62"/>
      <c r="B80" s="3" t="s">
        <v>85</v>
      </c>
      <c r="C80" s="3">
        <v>0</v>
      </c>
      <c r="E80" s="62"/>
      <c r="F80" s="3" t="s">
        <v>68</v>
      </c>
      <c r="G80" s="3">
        <v>0</v>
      </c>
      <c r="I80" s="62"/>
      <c r="J80" s="3" t="s">
        <v>244</v>
      </c>
    </row>
    <row r="81" spans="1:11" x14ac:dyDescent="0.3">
      <c r="A81" s="62" t="s">
        <v>86</v>
      </c>
      <c r="B81" s="3" t="s">
        <v>87</v>
      </c>
      <c r="E81" s="62" t="s">
        <v>162</v>
      </c>
      <c r="F81" s="3" t="s">
        <v>163</v>
      </c>
      <c r="I81" s="62"/>
      <c r="J81" s="3" t="s">
        <v>64</v>
      </c>
    </row>
    <row r="82" spans="1:11" x14ac:dyDescent="0.3">
      <c r="A82" s="62"/>
      <c r="B82" s="3" t="s">
        <v>88</v>
      </c>
      <c r="C82" s="3">
        <v>0</v>
      </c>
      <c r="E82" s="62"/>
      <c r="F82" s="3" t="s">
        <v>164</v>
      </c>
      <c r="I82" s="62"/>
      <c r="J82" s="3" t="s">
        <v>155</v>
      </c>
    </row>
    <row r="83" spans="1:11" x14ac:dyDescent="0.3">
      <c r="A83" s="62"/>
      <c r="B83" s="3" t="s">
        <v>89</v>
      </c>
      <c r="C83" s="3">
        <v>0</v>
      </c>
      <c r="E83" s="62"/>
      <c r="F83" s="3" t="s">
        <v>68</v>
      </c>
      <c r="I83" s="62"/>
      <c r="J83" s="3" t="s">
        <v>245</v>
      </c>
    </row>
    <row r="84" spans="1:11" x14ac:dyDescent="0.3">
      <c r="A84" s="62"/>
      <c r="B84" s="3" t="s">
        <v>68</v>
      </c>
      <c r="C84" s="3">
        <v>0</v>
      </c>
      <c r="E84" s="62"/>
      <c r="F84" s="3" t="s">
        <v>151</v>
      </c>
      <c r="I84" s="62"/>
      <c r="J84" s="3" t="s">
        <v>114</v>
      </c>
    </row>
    <row r="85" spans="1:11" x14ac:dyDescent="0.3">
      <c r="A85" s="62"/>
      <c r="B85" s="3" t="s">
        <v>90</v>
      </c>
      <c r="E85" s="62"/>
      <c r="F85" s="3" t="s">
        <v>64</v>
      </c>
      <c r="I85" s="62"/>
      <c r="J85" s="3" t="s">
        <v>64</v>
      </c>
    </row>
    <row r="86" spans="1:11" x14ac:dyDescent="0.3">
      <c r="A86" s="62"/>
      <c r="B86" s="3" t="s">
        <v>68</v>
      </c>
      <c r="E86" s="62" t="s">
        <v>18</v>
      </c>
      <c r="F86" s="3" t="s">
        <v>158</v>
      </c>
      <c r="I86" s="62" t="s">
        <v>246</v>
      </c>
      <c r="J86" s="3" t="s">
        <v>246</v>
      </c>
    </row>
    <row r="87" spans="1:11" x14ac:dyDescent="0.3">
      <c r="A87" s="62" t="s">
        <v>91</v>
      </c>
      <c r="B87" s="3" t="s">
        <v>92</v>
      </c>
      <c r="C87" s="3">
        <v>0</v>
      </c>
      <c r="E87" s="62"/>
      <c r="F87" s="3" t="s">
        <v>176</v>
      </c>
      <c r="G87" s="3">
        <v>0</v>
      </c>
      <c r="I87" s="62"/>
      <c r="J87" s="3" t="s">
        <v>64</v>
      </c>
    </row>
    <row r="88" spans="1:11" x14ac:dyDescent="0.3">
      <c r="A88" s="62"/>
      <c r="B88" s="3" t="s">
        <v>64</v>
      </c>
      <c r="C88" s="3">
        <v>0</v>
      </c>
      <c r="E88" s="62"/>
      <c r="F88" s="3" t="s">
        <v>177</v>
      </c>
      <c r="I88" s="62"/>
      <c r="J88" s="3" t="s">
        <v>145</v>
      </c>
    </row>
    <row r="89" spans="1:11" x14ac:dyDescent="0.3">
      <c r="A89" s="62"/>
      <c r="B89" s="3" t="s">
        <v>62</v>
      </c>
      <c r="C89" s="3">
        <v>0</v>
      </c>
      <c r="E89" s="62"/>
      <c r="F89" s="3" t="s">
        <v>62</v>
      </c>
      <c r="I89" s="62"/>
      <c r="J89" s="3" t="s">
        <v>247</v>
      </c>
    </row>
    <row r="90" spans="1:11" x14ac:dyDescent="0.3">
      <c r="A90" s="62"/>
      <c r="B90" s="3" t="s">
        <v>62</v>
      </c>
      <c r="C90" s="3">
        <v>0</v>
      </c>
      <c r="E90" s="62" t="s">
        <v>178</v>
      </c>
      <c r="F90" s="3" t="s">
        <v>178</v>
      </c>
      <c r="I90" s="62" t="s">
        <v>195</v>
      </c>
      <c r="J90" s="3" t="s">
        <v>195</v>
      </c>
    </row>
    <row r="91" spans="1:11" x14ac:dyDescent="0.3">
      <c r="A91" s="3" t="s">
        <v>93</v>
      </c>
      <c r="B91" s="3" t="s">
        <v>39</v>
      </c>
      <c r="E91" s="62"/>
      <c r="F91" s="3" t="s">
        <v>179</v>
      </c>
      <c r="G91" s="3">
        <v>0</v>
      </c>
      <c r="I91" s="62"/>
      <c r="J91" s="3" t="s">
        <v>248</v>
      </c>
    </row>
    <row r="92" spans="1:11" x14ac:dyDescent="0.3">
      <c r="B92" s="3" t="s">
        <v>94</v>
      </c>
      <c r="E92" s="62"/>
      <c r="F92" s="3" t="s">
        <v>68</v>
      </c>
      <c r="G92" s="3">
        <v>0</v>
      </c>
      <c r="I92" s="62"/>
      <c r="J92" s="3" t="s">
        <v>68</v>
      </c>
    </row>
    <row r="93" spans="1:11" x14ac:dyDescent="0.3">
      <c r="B93" s="3" t="s">
        <v>104</v>
      </c>
      <c r="C93" s="3">
        <v>0</v>
      </c>
      <c r="E93" s="62"/>
      <c r="F93" s="3" t="s">
        <v>180</v>
      </c>
      <c r="G93" s="3">
        <v>0</v>
      </c>
      <c r="I93" s="62"/>
      <c r="J93" s="3" t="s">
        <v>154</v>
      </c>
    </row>
    <row r="94" spans="1:11" x14ac:dyDescent="0.3">
      <c r="B94" s="3" t="s">
        <v>64</v>
      </c>
      <c r="C94" s="3">
        <v>0</v>
      </c>
      <c r="E94" s="62"/>
      <c r="F94" s="3" t="s">
        <v>64</v>
      </c>
      <c r="G94" s="3">
        <v>0</v>
      </c>
      <c r="I94" s="62"/>
      <c r="J94" s="3" t="s">
        <v>218</v>
      </c>
    </row>
    <row r="95" spans="1:11" x14ac:dyDescent="0.3">
      <c r="B95" s="3" t="s">
        <v>62</v>
      </c>
      <c r="C95" s="3">
        <v>0</v>
      </c>
      <c r="E95" s="62"/>
      <c r="F95" s="3" t="s">
        <v>62</v>
      </c>
      <c r="G95" s="3">
        <v>0</v>
      </c>
      <c r="I95" s="62"/>
      <c r="J95" s="3" t="s">
        <v>68</v>
      </c>
    </row>
    <row r="96" spans="1:11" x14ac:dyDescent="0.3">
      <c r="A96" s="3" t="s">
        <v>95</v>
      </c>
      <c r="B96" s="3" t="s">
        <v>96</v>
      </c>
      <c r="E96" s="62"/>
      <c r="F96" s="3" t="s">
        <v>181</v>
      </c>
      <c r="G96" s="3">
        <v>0</v>
      </c>
      <c r="I96" s="62"/>
      <c r="J96" s="3" t="s">
        <v>80</v>
      </c>
      <c r="K96" s="3">
        <v>0</v>
      </c>
    </row>
    <row r="97" spans="1:11" x14ac:dyDescent="0.3">
      <c r="B97" s="3" t="s">
        <v>68</v>
      </c>
      <c r="E97" s="62"/>
      <c r="F97" s="3" t="s">
        <v>64</v>
      </c>
      <c r="G97" s="3">
        <v>0</v>
      </c>
      <c r="I97" s="62"/>
      <c r="J97" s="3" t="s">
        <v>64</v>
      </c>
      <c r="K97" s="3">
        <v>0</v>
      </c>
    </row>
    <row r="98" spans="1:11" x14ac:dyDescent="0.3">
      <c r="A98" s="3" t="s">
        <v>97</v>
      </c>
      <c r="B98" s="3" t="s">
        <v>99</v>
      </c>
      <c r="E98" s="62"/>
      <c r="F98" s="3" t="s">
        <v>62</v>
      </c>
      <c r="G98" s="3">
        <v>0</v>
      </c>
      <c r="I98" s="62" t="s">
        <v>249</v>
      </c>
      <c r="J98" s="3" t="s">
        <v>249</v>
      </c>
    </row>
    <row r="99" spans="1:11" x14ac:dyDescent="0.3">
      <c r="A99" s="3" t="s">
        <v>98</v>
      </c>
      <c r="B99" s="3" t="s">
        <v>68</v>
      </c>
      <c r="E99" s="62" t="s">
        <v>182</v>
      </c>
      <c r="F99" s="3" t="s">
        <v>183</v>
      </c>
      <c r="I99" s="62"/>
      <c r="J99" s="3" t="s">
        <v>250</v>
      </c>
    </row>
    <row r="100" spans="1:11" x14ac:dyDescent="0.3">
      <c r="B100" s="3" t="s">
        <v>100</v>
      </c>
      <c r="E100" s="62"/>
      <c r="F100" s="3" t="s">
        <v>184</v>
      </c>
      <c r="I100" s="62"/>
      <c r="J100" s="3" t="s">
        <v>251</v>
      </c>
      <c r="K100" s="3">
        <v>0</v>
      </c>
    </row>
    <row r="101" spans="1:11" x14ac:dyDescent="0.3">
      <c r="B101" s="3" t="s">
        <v>94</v>
      </c>
      <c r="E101" s="62"/>
      <c r="F101" s="3" t="s">
        <v>20</v>
      </c>
      <c r="I101" s="62"/>
      <c r="J101" s="3" t="s">
        <v>65</v>
      </c>
      <c r="K101" s="3">
        <v>0</v>
      </c>
    </row>
    <row r="102" spans="1:11" x14ac:dyDescent="0.3">
      <c r="B102" s="3" t="s">
        <v>101</v>
      </c>
      <c r="I102" s="62"/>
      <c r="J102" s="3" t="s">
        <v>62</v>
      </c>
      <c r="K102" s="3">
        <v>0</v>
      </c>
    </row>
    <row r="103" spans="1:11" x14ac:dyDescent="0.3">
      <c r="B103" s="3" t="s">
        <v>64</v>
      </c>
      <c r="I103" s="62"/>
      <c r="J103" s="3" t="s">
        <v>252</v>
      </c>
      <c r="K103" s="3">
        <v>0</v>
      </c>
    </row>
    <row r="104" spans="1:11" x14ac:dyDescent="0.3">
      <c r="A104" s="3" t="s">
        <v>102</v>
      </c>
      <c r="B104" s="3" t="s">
        <v>102</v>
      </c>
      <c r="C104" s="3">
        <v>0</v>
      </c>
      <c r="I104" s="62" t="s">
        <v>253</v>
      </c>
      <c r="J104" s="3" t="s">
        <v>253</v>
      </c>
    </row>
    <row r="105" spans="1:11" x14ac:dyDescent="0.3">
      <c r="B105" s="3" t="s">
        <v>68</v>
      </c>
      <c r="C105" s="3">
        <v>0</v>
      </c>
      <c r="I105" s="62"/>
      <c r="J105" s="3" t="s">
        <v>254</v>
      </c>
    </row>
    <row r="106" spans="1:11" x14ac:dyDescent="0.3">
      <c r="A106" s="3" t="s">
        <v>105</v>
      </c>
      <c r="B106" s="3" t="s">
        <v>105</v>
      </c>
      <c r="I106" s="63" t="s">
        <v>255</v>
      </c>
      <c r="J106" s="3" t="s">
        <v>221</v>
      </c>
    </row>
    <row r="107" spans="1:11" x14ac:dyDescent="0.3">
      <c r="B107" s="3" t="s">
        <v>68</v>
      </c>
      <c r="I107" s="63"/>
      <c r="J107" s="3" t="s">
        <v>68</v>
      </c>
    </row>
    <row r="108" spans="1:11" x14ac:dyDescent="0.3">
      <c r="B108" s="3" t="s">
        <v>106</v>
      </c>
      <c r="I108" s="62" t="s">
        <v>256</v>
      </c>
      <c r="J108" s="3" t="s">
        <v>256</v>
      </c>
      <c r="K108" s="3">
        <v>0</v>
      </c>
    </row>
    <row r="109" spans="1:11" x14ac:dyDescent="0.3">
      <c r="B109" s="3" t="s">
        <v>107</v>
      </c>
      <c r="I109" s="62"/>
      <c r="J109" s="3" t="s">
        <v>257</v>
      </c>
      <c r="K109" s="3">
        <v>0</v>
      </c>
    </row>
    <row r="110" spans="1:11" x14ac:dyDescent="0.3">
      <c r="B110" s="3" t="s">
        <v>62</v>
      </c>
      <c r="I110" s="62"/>
      <c r="J110" s="3" t="s">
        <v>258</v>
      </c>
      <c r="K110" s="3">
        <v>0</v>
      </c>
    </row>
    <row r="111" spans="1:11" x14ac:dyDescent="0.3">
      <c r="B111" s="3" t="s">
        <v>108</v>
      </c>
      <c r="I111" s="62"/>
      <c r="J111" s="3" t="s">
        <v>259</v>
      </c>
      <c r="K111" s="3">
        <v>0</v>
      </c>
    </row>
    <row r="112" spans="1:11" x14ac:dyDescent="0.3">
      <c r="B112" s="3" t="s">
        <v>68</v>
      </c>
      <c r="I112" s="62"/>
      <c r="J112" s="3" t="s">
        <v>260</v>
      </c>
      <c r="K112" s="3">
        <v>0</v>
      </c>
    </row>
    <row r="113" spans="1:11" x14ac:dyDescent="0.3">
      <c r="A113" s="3" t="s">
        <v>23</v>
      </c>
      <c r="B113" s="3">
        <v>10</v>
      </c>
      <c r="I113" s="62"/>
      <c r="J113" s="3" t="s">
        <v>261</v>
      </c>
      <c r="K113" s="3">
        <v>0</v>
      </c>
    </row>
    <row r="114" spans="1:11" x14ac:dyDescent="0.3">
      <c r="I114" s="62"/>
      <c r="J114" s="3" t="s">
        <v>64</v>
      </c>
      <c r="K114" s="3">
        <v>0</v>
      </c>
    </row>
    <row r="115" spans="1:11" x14ac:dyDescent="0.3">
      <c r="I115" s="62" t="s">
        <v>262</v>
      </c>
      <c r="J115" s="3" t="s">
        <v>263</v>
      </c>
    </row>
    <row r="116" spans="1:11" x14ac:dyDescent="0.3">
      <c r="I116" s="62"/>
      <c r="J116" s="3" t="s">
        <v>45</v>
      </c>
    </row>
    <row r="117" spans="1:11" x14ac:dyDescent="0.3">
      <c r="I117" s="62"/>
      <c r="J117" s="3" t="s">
        <v>264</v>
      </c>
      <c r="K117" s="3">
        <v>0</v>
      </c>
    </row>
    <row r="118" spans="1:11" x14ac:dyDescent="0.3">
      <c r="I118" s="62"/>
      <c r="J118" s="3" t="s">
        <v>265</v>
      </c>
      <c r="K118" s="3">
        <v>0</v>
      </c>
    </row>
    <row r="119" spans="1:11" x14ac:dyDescent="0.3">
      <c r="I119" s="62"/>
      <c r="J119" s="3" t="s">
        <v>258</v>
      </c>
      <c r="K119" s="3">
        <v>0</v>
      </c>
    </row>
    <row r="120" spans="1:11" x14ac:dyDescent="0.3">
      <c r="I120" s="62" t="s">
        <v>266</v>
      </c>
      <c r="J120" s="3" t="s">
        <v>266</v>
      </c>
      <c r="K120" s="3">
        <v>0</v>
      </c>
    </row>
    <row r="121" spans="1:11" x14ac:dyDescent="0.3">
      <c r="I121" s="62"/>
      <c r="J121" s="3" t="s">
        <v>68</v>
      </c>
      <c r="K121" s="3">
        <v>0</v>
      </c>
    </row>
    <row r="122" spans="1:11" x14ac:dyDescent="0.3">
      <c r="I122" s="62"/>
      <c r="J122" s="3" t="s">
        <v>267</v>
      </c>
      <c r="K122" s="3">
        <v>0</v>
      </c>
    </row>
    <row r="123" spans="1:11" x14ac:dyDescent="0.3">
      <c r="I123" s="62"/>
      <c r="J123" s="3" t="s">
        <v>64</v>
      </c>
      <c r="K123" s="3">
        <v>0</v>
      </c>
    </row>
  </sheetData>
  <mergeCells count="65">
    <mergeCell ref="M35:M36"/>
    <mergeCell ref="M37:M38"/>
    <mergeCell ref="M39:M43"/>
    <mergeCell ref="E3:E4"/>
    <mergeCell ref="N56:O56"/>
    <mergeCell ref="M21:M23"/>
    <mergeCell ref="M24:M26"/>
    <mergeCell ref="M27:M28"/>
    <mergeCell ref="M29:M30"/>
    <mergeCell ref="M31:M32"/>
    <mergeCell ref="M33:M34"/>
    <mergeCell ref="M3:M10"/>
    <mergeCell ref="M11:M12"/>
    <mergeCell ref="M13:M16"/>
    <mergeCell ref="M17:M18"/>
    <mergeCell ref="M19:M20"/>
    <mergeCell ref="I104:I105"/>
    <mergeCell ref="I106:I107"/>
    <mergeCell ref="I108:I114"/>
    <mergeCell ref="I115:I119"/>
    <mergeCell ref="I120:I123"/>
    <mergeCell ref="I58:I65"/>
    <mergeCell ref="I66:I67"/>
    <mergeCell ref="I68:I85"/>
    <mergeCell ref="I86:I89"/>
    <mergeCell ref="I90:I97"/>
    <mergeCell ref="I98:I103"/>
    <mergeCell ref="E90:E98"/>
    <mergeCell ref="E99:E101"/>
    <mergeCell ref="I3:I11"/>
    <mergeCell ref="I12:I18"/>
    <mergeCell ref="I19:I26"/>
    <mergeCell ref="I27:I32"/>
    <mergeCell ref="I34:I39"/>
    <mergeCell ref="I40:I42"/>
    <mergeCell ref="I43:I52"/>
    <mergeCell ref="I53:I57"/>
    <mergeCell ref="E57:E65"/>
    <mergeCell ref="E66:E69"/>
    <mergeCell ref="E70:E75"/>
    <mergeCell ref="E76:E80"/>
    <mergeCell ref="E81:E85"/>
    <mergeCell ref="E86:E89"/>
    <mergeCell ref="E29:E34"/>
    <mergeCell ref="E35:E40"/>
    <mergeCell ref="E41:E45"/>
    <mergeCell ref="E46:E48"/>
    <mergeCell ref="E49:E50"/>
    <mergeCell ref="E51:E56"/>
    <mergeCell ref="A50:A60"/>
    <mergeCell ref="A61:A62"/>
    <mergeCell ref="A63:A80"/>
    <mergeCell ref="A81:A86"/>
    <mergeCell ref="A87:A90"/>
    <mergeCell ref="E5:E7"/>
    <mergeCell ref="E8:E17"/>
    <mergeCell ref="E18:E20"/>
    <mergeCell ref="E21:E26"/>
    <mergeCell ref="E27:E28"/>
    <mergeCell ref="A39:A49"/>
    <mergeCell ref="A3:A6"/>
    <mergeCell ref="A7:A14"/>
    <mergeCell ref="A15:A21"/>
    <mergeCell ref="A22:A28"/>
    <mergeCell ref="A29:A3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684E3-7E1A-4BF4-8280-0FA280656C32}">
  <dimension ref="A1:AA106"/>
  <sheetViews>
    <sheetView topLeftCell="F4" zoomScale="153" workbookViewId="0">
      <selection activeCell="I17" sqref="I17"/>
    </sheetView>
  </sheetViews>
  <sheetFormatPr defaultRowHeight="14.4" x14ac:dyDescent="0.3"/>
  <cols>
    <col min="1" max="1" width="13.6640625" customWidth="1"/>
    <col min="19" max="19" width="9.109375" customWidth="1"/>
    <col min="20" max="20" width="8.109375" bestFit="1" customWidth="1"/>
    <col min="24" max="24" width="10.33203125" bestFit="1" customWidth="1"/>
  </cols>
  <sheetData>
    <row r="1" spans="1:27" ht="23.4" x14ac:dyDescent="0.45">
      <c r="A1" s="1" t="s">
        <v>103</v>
      </c>
      <c r="K1" s="65" t="s">
        <v>417</v>
      </c>
      <c r="L1" s="65"/>
      <c r="M1" s="13" t="s">
        <v>418</v>
      </c>
      <c r="N1" t="s">
        <v>419</v>
      </c>
      <c r="R1" t="s">
        <v>443</v>
      </c>
      <c r="S1" t="s">
        <v>444</v>
      </c>
      <c r="T1" t="s">
        <v>445</v>
      </c>
      <c r="U1" t="s">
        <v>461</v>
      </c>
      <c r="X1" s="13" t="s">
        <v>467</v>
      </c>
      <c r="Y1" t="s">
        <v>468</v>
      </c>
      <c r="Z1" t="s">
        <v>469</v>
      </c>
    </row>
    <row r="2" spans="1:27" x14ac:dyDescent="0.3">
      <c r="B2" t="s">
        <v>442</v>
      </c>
      <c r="E2" t="s">
        <v>355</v>
      </c>
      <c r="G2" t="s">
        <v>477</v>
      </c>
      <c r="I2" t="s">
        <v>415</v>
      </c>
      <c r="J2" t="s">
        <v>416</v>
      </c>
      <c r="K2" t="s">
        <v>420</v>
      </c>
      <c r="L2" t="s">
        <v>421</v>
      </c>
      <c r="Q2" t="s">
        <v>446</v>
      </c>
      <c r="R2">
        <v>2</v>
      </c>
      <c r="S2">
        <v>1</v>
      </c>
      <c r="T2">
        <v>1</v>
      </c>
      <c r="U2">
        <v>1</v>
      </c>
      <c r="W2" t="s">
        <v>470</v>
      </c>
      <c r="X2" s="18">
        <v>45992</v>
      </c>
      <c r="Y2">
        <v>300</v>
      </c>
      <c r="Z2">
        <v>250</v>
      </c>
      <c r="AA2">
        <f>Y2*Z2</f>
        <v>75000</v>
      </c>
    </row>
    <row r="3" spans="1:27" x14ac:dyDescent="0.3">
      <c r="A3" t="s">
        <v>301</v>
      </c>
      <c r="G3">
        <v>2</v>
      </c>
      <c r="H3">
        <v>1</v>
      </c>
      <c r="I3" t="s">
        <v>301</v>
      </c>
      <c r="J3" t="s">
        <v>302</v>
      </c>
      <c r="K3" t="s">
        <v>154</v>
      </c>
      <c r="L3" t="s">
        <v>303</v>
      </c>
      <c r="O3">
        <f>COUNTA(I3:N3)</f>
        <v>4</v>
      </c>
      <c r="Q3" t="s">
        <v>447</v>
      </c>
      <c r="R3">
        <v>1</v>
      </c>
      <c r="S3">
        <v>1</v>
      </c>
      <c r="T3">
        <v>1</v>
      </c>
      <c r="U3">
        <v>2</v>
      </c>
      <c r="W3" t="s">
        <v>348</v>
      </c>
      <c r="X3" s="18">
        <v>46011</v>
      </c>
      <c r="Y3">
        <v>80</v>
      </c>
      <c r="Z3">
        <v>75</v>
      </c>
      <c r="AA3">
        <f t="shared" ref="AA3:AA11" si="0">Y3*Z3</f>
        <v>6000</v>
      </c>
    </row>
    <row r="4" spans="1:27" x14ac:dyDescent="0.3">
      <c r="A4" t="s">
        <v>302</v>
      </c>
      <c r="E4" t="s">
        <v>301</v>
      </c>
      <c r="G4">
        <v>1</v>
      </c>
      <c r="H4">
        <v>2</v>
      </c>
      <c r="I4" t="s">
        <v>8</v>
      </c>
      <c r="J4" t="s">
        <v>422</v>
      </c>
      <c r="O4">
        <f t="shared" ref="O4:O39" si="1">COUNTA(I4:N4)</f>
        <v>2</v>
      </c>
      <c r="Q4" t="s">
        <v>448</v>
      </c>
      <c r="R4">
        <v>26</v>
      </c>
      <c r="S4">
        <v>33</v>
      </c>
      <c r="T4">
        <v>55</v>
      </c>
      <c r="U4">
        <v>36</v>
      </c>
      <c r="W4" t="s">
        <v>353</v>
      </c>
      <c r="Y4">
        <v>50</v>
      </c>
      <c r="Z4">
        <v>150</v>
      </c>
      <c r="AA4">
        <f t="shared" si="0"/>
        <v>7500</v>
      </c>
    </row>
    <row r="5" spans="1:27" x14ac:dyDescent="0.3">
      <c r="A5" t="s">
        <v>303</v>
      </c>
      <c r="E5" t="s">
        <v>302</v>
      </c>
      <c r="G5">
        <v>1</v>
      </c>
      <c r="H5">
        <v>3</v>
      </c>
      <c r="I5" t="s">
        <v>423</v>
      </c>
      <c r="J5" t="s">
        <v>318</v>
      </c>
      <c r="K5" t="s">
        <v>11</v>
      </c>
      <c r="O5">
        <f t="shared" si="1"/>
        <v>3</v>
      </c>
      <c r="Q5" t="s">
        <v>449</v>
      </c>
      <c r="R5">
        <v>1</v>
      </c>
      <c r="S5">
        <v>1</v>
      </c>
      <c r="T5">
        <v>1</v>
      </c>
      <c r="U5">
        <v>1</v>
      </c>
      <c r="W5" t="s">
        <v>471</v>
      </c>
      <c r="Y5">
        <v>1</v>
      </c>
      <c r="Z5">
        <v>10000</v>
      </c>
      <c r="AA5">
        <f t="shared" si="0"/>
        <v>10000</v>
      </c>
    </row>
    <row r="6" spans="1:27" x14ac:dyDescent="0.3">
      <c r="A6" t="s">
        <v>154</v>
      </c>
      <c r="E6" t="s">
        <v>303</v>
      </c>
      <c r="G6">
        <v>1</v>
      </c>
      <c r="H6">
        <v>4</v>
      </c>
      <c r="I6" t="s">
        <v>424</v>
      </c>
      <c r="J6" t="s">
        <v>13</v>
      </c>
      <c r="K6" t="s">
        <v>15</v>
      </c>
      <c r="L6" t="s">
        <v>478</v>
      </c>
      <c r="O6">
        <f t="shared" si="1"/>
        <v>4</v>
      </c>
      <c r="Q6" t="s">
        <v>450</v>
      </c>
      <c r="R6">
        <v>1</v>
      </c>
      <c r="S6">
        <v>1</v>
      </c>
      <c r="T6">
        <v>1</v>
      </c>
      <c r="U6">
        <v>1</v>
      </c>
      <c r="W6" t="s">
        <v>472</v>
      </c>
      <c r="Y6">
        <v>100</v>
      </c>
      <c r="Z6">
        <v>1900</v>
      </c>
      <c r="AA6">
        <f t="shared" si="0"/>
        <v>190000</v>
      </c>
    </row>
    <row r="7" spans="1:27" x14ac:dyDescent="0.3">
      <c r="A7" s="3" t="s">
        <v>8</v>
      </c>
      <c r="E7" t="s">
        <v>154</v>
      </c>
      <c r="G7">
        <v>1</v>
      </c>
      <c r="H7">
        <v>5</v>
      </c>
      <c r="I7" t="s">
        <v>425</v>
      </c>
      <c r="J7" t="s">
        <v>320</v>
      </c>
      <c r="N7" t="s">
        <v>414</v>
      </c>
      <c r="O7">
        <f t="shared" si="1"/>
        <v>3</v>
      </c>
      <c r="Q7" t="s">
        <v>451</v>
      </c>
      <c r="R7">
        <v>2300</v>
      </c>
      <c r="S7">
        <v>1900</v>
      </c>
      <c r="T7">
        <v>2200</v>
      </c>
      <c r="U7">
        <v>2500</v>
      </c>
      <c r="W7" t="s">
        <v>473</v>
      </c>
      <c r="Y7">
        <v>50</v>
      </c>
      <c r="Z7">
        <v>20</v>
      </c>
      <c r="AA7">
        <f t="shared" si="0"/>
        <v>1000</v>
      </c>
    </row>
    <row r="8" spans="1:27" x14ac:dyDescent="0.3">
      <c r="A8" s="3" t="s">
        <v>7</v>
      </c>
      <c r="E8" s="3" t="s">
        <v>7</v>
      </c>
      <c r="G8">
        <v>0</v>
      </c>
      <c r="H8">
        <v>6</v>
      </c>
      <c r="I8" t="s">
        <v>297</v>
      </c>
      <c r="J8" t="s">
        <v>426</v>
      </c>
      <c r="L8" t="s">
        <v>427</v>
      </c>
      <c r="O8">
        <f t="shared" si="1"/>
        <v>3</v>
      </c>
      <c r="Q8" t="s">
        <v>452</v>
      </c>
      <c r="R8">
        <v>1</v>
      </c>
      <c r="S8">
        <v>0</v>
      </c>
      <c r="T8">
        <v>0</v>
      </c>
      <c r="U8">
        <v>1</v>
      </c>
      <c r="W8" t="s">
        <v>474</v>
      </c>
      <c r="Y8">
        <v>12</v>
      </c>
      <c r="Z8">
        <v>200</v>
      </c>
      <c r="AA8">
        <f t="shared" si="0"/>
        <v>2400</v>
      </c>
    </row>
    <row r="9" spans="1:27" x14ac:dyDescent="0.3">
      <c r="A9" s="3" t="s">
        <v>9</v>
      </c>
      <c r="E9" t="s">
        <v>110</v>
      </c>
      <c r="G9">
        <v>1</v>
      </c>
      <c r="H9">
        <v>7</v>
      </c>
      <c r="I9" t="s">
        <v>113</v>
      </c>
      <c r="J9" t="s">
        <v>114</v>
      </c>
      <c r="O9">
        <f t="shared" si="1"/>
        <v>2</v>
      </c>
      <c r="Q9" t="s">
        <v>453</v>
      </c>
      <c r="R9">
        <v>1</v>
      </c>
      <c r="S9">
        <v>0</v>
      </c>
      <c r="T9">
        <v>0</v>
      </c>
      <c r="U9">
        <v>1</v>
      </c>
      <c r="W9" t="s">
        <v>475</v>
      </c>
      <c r="Y9">
        <v>30</v>
      </c>
      <c r="Z9">
        <v>200</v>
      </c>
      <c r="AA9">
        <f t="shared" si="0"/>
        <v>6000</v>
      </c>
    </row>
    <row r="10" spans="1:27" x14ac:dyDescent="0.3">
      <c r="A10" s="3" t="s">
        <v>10</v>
      </c>
      <c r="E10" t="s">
        <v>316</v>
      </c>
      <c r="G10">
        <v>1</v>
      </c>
      <c r="H10">
        <v>8</v>
      </c>
      <c r="I10" t="s">
        <v>115</v>
      </c>
      <c r="J10" t="s">
        <v>116</v>
      </c>
      <c r="K10" t="s">
        <v>118</v>
      </c>
      <c r="L10" t="s">
        <v>117</v>
      </c>
      <c r="O10">
        <f t="shared" si="1"/>
        <v>4</v>
      </c>
      <c r="Q10" t="s">
        <v>454</v>
      </c>
      <c r="R10">
        <v>1</v>
      </c>
      <c r="S10">
        <v>0</v>
      </c>
      <c r="T10">
        <v>0</v>
      </c>
      <c r="U10">
        <v>0</v>
      </c>
      <c r="W10" t="s">
        <v>460</v>
      </c>
      <c r="Y10">
        <v>1</v>
      </c>
      <c r="Z10">
        <v>20000</v>
      </c>
      <c r="AA10">
        <f t="shared" si="0"/>
        <v>20000</v>
      </c>
    </row>
    <row r="11" spans="1:27" x14ac:dyDescent="0.3">
      <c r="A11" s="3" t="s">
        <v>11</v>
      </c>
      <c r="E11" t="s">
        <v>118</v>
      </c>
      <c r="G11">
        <v>0</v>
      </c>
      <c r="H11">
        <v>9</v>
      </c>
      <c r="I11" t="s">
        <v>698</v>
      </c>
      <c r="J11" t="s">
        <v>55</v>
      </c>
      <c r="N11" t="s">
        <v>707</v>
      </c>
      <c r="O11">
        <f t="shared" si="1"/>
        <v>3</v>
      </c>
      <c r="Q11" t="s">
        <v>462</v>
      </c>
      <c r="R11">
        <v>0</v>
      </c>
      <c r="S11">
        <v>0</v>
      </c>
      <c r="T11">
        <v>0</v>
      </c>
      <c r="U11">
        <v>1</v>
      </c>
      <c r="W11" t="s">
        <v>476</v>
      </c>
      <c r="Y11">
        <v>1</v>
      </c>
      <c r="Z11">
        <v>25000</v>
      </c>
      <c r="AA11">
        <f t="shared" si="0"/>
        <v>25000</v>
      </c>
    </row>
    <row r="12" spans="1:27" x14ac:dyDescent="0.3">
      <c r="A12" s="3" t="s">
        <v>13</v>
      </c>
      <c r="E12" t="s">
        <v>119</v>
      </c>
      <c r="G12">
        <v>1</v>
      </c>
      <c r="H12">
        <v>10</v>
      </c>
      <c r="I12" t="s">
        <v>71</v>
      </c>
      <c r="J12" t="s">
        <v>70</v>
      </c>
      <c r="K12" t="s">
        <v>73</v>
      </c>
      <c r="L12" t="s">
        <v>72</v>
      </c>
      <c r="O12">
        <f t="shared" si="1"/>
        <v>4</v>
      </c>
      <c r="Q12" t="s">
        <v>458</v>
      </c>
      <c r="R12">
        <v>2300</v>
      </c>
      <c r="S12">
        <v>1900</v>
      </c>
      <c r="T12">
        <v>2200</v>
      </c>
      <c r="U12">
        <v>2500</v>
      </c>
      <c r="AA12">
        <f>SUM(AA2:AA11)</f>
        <v>342900</v>
      </c>
    </row>
    <row r="13" spans="1:27" x14ac:dyDescent="0.3">
      <c r="A13" s="3" t="s">
        <v>14</v>
      </c>
      <c r="E13" t="s">
        <v>120</v>
      </c>
      <c r="G13">
        <v>1</v>
      </c>
      <c r="H13">
        <v>11</v>
      </c>
      <c r="I13" t="s">
        <v>74</v>
      </c>
      <c r="J13" t="s">
        <v>312</v>
      </c>
      <c r="M13" t="s">
        <v>428</v>
      </c>
      <c r="N13" t="s">
        <v>411</v>
      </c>
      <c r="O13">
        <f t="shared" si="1"/>
        <v>4</v>
      </c>
    </row>
    <row r="14" spans="1:27" x14ac:dyDescent="0.3">
      <c r="A14" s="3" t="s">
        <v>15</v>
      </c>
      <c r="E14" t="s">
        <v>121</v>
      </c>
      <c r="G14">
        <v>1</v>
      </c>
      <c r="H14">
        <v>12</v>
      </c>
      <c r="I14" t="s">
        <v>77</v>
      </c>
      <c r="J14" t="s">
        <v>429</v>
      </c>
      <c r="K14" t="s">
        <v>79</v>
      </c>
      <c r="M14" t="s">
        <v>413</v>
      </c>
      <c r="O14">
        <f t="shared" si="1"/>
        <v>4</v>
      </c>
      <c r="Q14" t="s">
        <v>464</v>
      </c>
      <c r="R14">
        <v>2000</v>
      </c>
      <c r="S14">
        <v>2000</v>
      </c>
      <c r="T14">
        <v>2000</v>
      </c>
      <c r="U14">
        <v>0</v>
      </c>
    </row>
    <row r="15" spans="1:27" x14ac:dyDescent="0.3">
      <c r="A15" s="3" t="s">
        <v>414</v>
      </c>
      <c r="E15" s="3" t="s">
        <v>70</v>
      </c>
      <c r="G15">
        <v>0</v>
      </c>
      <c r="H15">
        <v>13</v>
      </c>
      <c r="I15" t="s">
        <v>286</v>
      </c>
      <c r="J15" t="s">
        <v>80</v>
      </c>
      <c r="K15" t="s">
        <v>82</v>
      </c>
      <c r="O15">
        <f t="shared" si="1"/>
        <v>3</v>
      </c>
      <c r="Q15" t="s">
        <v>463</v>
      </c>
      <c r="R15">
        <v>1</v>
      </c>
      <c r="S15">
        <v>0</v>
      </c>
      <c r="T15">
        <v>1</v>
      </c>
      <c r="U15">
        <v>1</v>
      </c>
    </row>
    <row r="16" spans="1:27" x14ac:dyDescent="0.3">
      <c r="A16" s="3" t="s">
        <v>320</v>
      </c>
      <c r="E16" s="3" t="s">
        <v>71</v>
      </c>
      <c r="G16">
        <v>0</v>
      </c>
      <c r="H16">
        <v>14</v>
      </c>
      <c r="I16" t="s">
        <v>81</v>
      </c>
      <c r="J16" t="s">
        <v>430</v>
      </c>
      <c r="O16">
        <f t="shared" si="1"/>
        <v>2</v>
      </c>
      <c r="Q16" t="s">
        <v>465</v>
      </c>
      <c r="R16">
        <v>8000</v>
      </c>
      <c r="S16">
        <v>8000</v>
      </c>
      <c r="T16">
        <v>8000</v>
      </c>
      <c r="U16">
        <v>8000</v>
      </c>
    </row>
    <row r="17" spans="1:21" x14ac:dyDescent="0.3">
      <c r="A17" s="3" t="s">
        <v>16</v>
      </c>
      <c r="E17" s="3" t="s">
        <v>72</v>
      </c>
      <c r="G17">
        <v>1</v>
      </c>
      <c r="H17">
        <v>15</v>
      </c>
      <c r="I17" s="32" t="s">
        <v>431</v>
      </c>
      <c r="J17" t="s">
        <v>85</v>
      </c>
      <c r="K17" s="32" t="s">
        <v>83</v>
      </c>
      <c r="O17">
        <f t="shared" si="1"/>
        <v>3</v>
      </c>
    </row>
    <row r="18" spans="1:21" x14ac:dyDescent="0.3">
      <c r="A18" s="3" t="s">
        <v>110</v>
      </c>
      <c r="E18" s="3" t="s">
        <v>73</v>
      </c>
      <c r="G18">
        <v>1</v>
      </c>
      <c r="H18">
        <v>16</v>
      </c>
      <c r="I18" t="s">
        <v>48</v>
      </c>
      <c r="J18" t="s">
        <v>49</v>
      </c>
      <c r="K18" t="s">
        <v>51</v>
      </c>
      <c r="L18" t="s">
        <v>50</v>
      </c>
      <c r="O18">
        <f t="shared" si="1"/>
        <v>4</v>
      </c>
      <c r="Q18">
        <v>94</v>
      </c>
      <c r="R18">
        <f>$Q$18*R7</f>
        <v>216200</v>
      </c>
      <c r="S18">
        <f t="shared" ref="S18:U18" si="2">$Q$18*S7</f>
        <v>178600</v>
      </c>
      <c r="T18">
        <f t="shared" si="2"/>
        <v>206800</v>
      </c>
      <c r="U18">
        <f t="shared" si="2"/>
        <v>235000</v>
      </c>
    </row>
    <row r="19" spans="1:21" x14ac:dyDescent="0.3">
      <c r="A19" s="3" t="s">
        <v>111</v>
      </c>
      <c r="E19" s="3" t="s">
        <v>82</v>
      </c>
      <c r="G19">
        <v>0</v>
      </c>
      <c r="H19">
        <v>17</v>
      </c>
      <c r="I19" t="s">
        <v>52</v>
      </c>
      <c r="J19" t="s">
        <v>54</v>
      </c>
      <c r="K19" t="s">
        <v>53</v>
      </c>
      <c r="O19">
        <f t="shared" si="1"/>
        <v>3</v>
      </c>
      <c r="Q19">
        <v>3</v>
      </c>
      <c r="R19">
        <f>$Q$19*(R7/2)</f>
        <v>3450</v>
      </c>
      <c r="S19">
        <f t="shared" ref="S19:U19" si="3">$Q$19*(S7/2)</f>
        <v>2850</v>
      </c>
      <c r="T19">
        <f t="shared" si="3"/>
        <v>3300</v>
      </c>
      <c r="U19">
        <f t="shared" si="3"/>
        <v>3750</v>
      </c>
    </row>
    <row r="20" spans="1:21" ht="15" thickBot="1" x14ac:dyDescent="0.35">
      <c r="A20" s="3" t="s">
        <v>112</v>
      </c>
      <c r="E20" s="3" t="s">
        <v>147</v>
      </c>
      <c r="G20">
        <v>1</v>
      </c>
      <c r="H20">
        <v>18</v>
      </c>
      <c r="I20" t="s">
        <v>196</v>
      </c>
      <c r="J20" t="s">
        <v>197</v>
      </c>
      <c r="O20">
        <f t="shared" si="1"/>
        <v>2</v>
      </c>
    </row>
    <row r="21" spans="1:21" ht="15" thickBot="1" x14ac:dyDescent="0.35">
      <c r="A21" s="3" t="s">
        <v>113</v>
      </c>
      <c r="E21" s="3" t="s">
        <v>148</v>
      </c>
      <c r="G21">
        <v>1</v>
      </c>
      <c r="H21">
        <v>19</v>
      </c>
      <c r="I21" t="s">
        <v>212</v>
      </c>
      <c r="J21" t="s">
        <v>432</v>
      </c>
      <c r="O21">
        <f t="shared" si="1"/>
        <v>2</v>
      </c>
      <c r="Q21" s="14" t="s">
        <v>459</v>
      </c>
      <c r="R21" s="15">
        <f>SUM(R18:R19)</f>
        <v>219650</v>
      </c>
      <c r="S21" s="15">
        <f t="shared" ref="S21:U21" si="4">SUM(S18:S19)</f>
        <v>181450</v>
      </c>
      <c r="T21" s="15">
        <f t="shared" si="4"/>
        <v>210100</v>
      </c>
      <c r="U21" s="16">
        <f t="shared" si="4"/>
        <v>238750</v>
      </c>
    </row>
    <row r="22" spans="1:21" x14ac:dyDescent="0.3">
      <c r="A22" s="3" t="s">
        <v>114</v>
      </c>
      <c r="E22" s="3" t="s">
        <v>149</v>
      </c>
      <c r="G22">
        <v>0</v>
      </c>
      <c r="H22">
        <v>20</v>
      </c>
      <c r="I22" t="s">
        <v>215</v>
      </c>
      <c r="J22" t="s">
        <v>216</v>
      </c>
      <c r="O22">
        <f t="shared" si="1"/>
        <v>2</v>
      </c>
    </row>
    <row r="23" spans="1:21" x14ac:dyDescent="0.3">
      <c r="A23" s="3" t="s">
        <v>115</v>
      </c>
      <c r="E23" s="3" t="s">
        <v>133</v>
      </c>
      <c r="G23">
        <v>0</v>
      </c>
      <c r="H23">
        <v>21</v>
      </c>
      <c r="I23" t="s">
        <v>214</v>
      </c>
      <c r="J23" t="s">
        <v>217</v>
      </c>
      <c r="O23">
        <f>COUNTA(I23:N23)</f>
        <v>2</v>
      </c>
      <c r="Q23" t="s">
        <v>466</v>
      </c>
    </row>
    <row r="24" spans="1:21" x14ac:dyDescent="0.3">
      <c r="A24" s="3" t="s">
        <v>116</v>
      </c>
      <c r="E24" s="3" t="s">
        <v>134</v>
      </c>
      <c r="G24">
        <v>1</v>
      </c>
      <c r="H24">
        <v>22</v>
      </c>
      <c r="I24" t="s">
        <v>39</v>
      </c>
      <c r="J24" t="s">
        <v>40</v>
      </c>
      <c r="K24" s="32" t="s">
        <v>38</v>
      </c>
      <c r="L24" t="s">
        <v>37</v>
      </c>
      <c r="N24" t="s">
        <v>220</v>
      </c>
      <c r="O24">
        <f t="shared" si="1"/>
        <v>5</v>
      </c>
      <c r="Q24">
        <v>94</v>
      </c>
      <c r="R24">
        <f>$Q$24*R12</f>
        <v>216200</v>
      </c>
      <c r="S24">
        <f t="shared" ref="S24:U24" si="5">$Q$24*S12</f>
        <v>178600</v>
      </c>
      <c r="T24">
        <f t="shared" si="5"/>
        <v>206800</v>
      </c>
      <c r="U24">
        <f t="shared" si="5"/>
        <v>235000</v>
      </c>
    </row>
    <row r="25" spans="1:21" x14ac:dyDescent="0.3">
      <c r="A25" s="3" t="s">
        <v>117</v>
      </c>
      <c r="E25" s="3" t="s">
        <v>135</v>
      </c>
      <c r="G25">
        <v>0</v>
      </c>
      <c r="H25">
        <v>23</v>
      </c>
      <c r="I25" t="s">
        <v>698</v>
      </c>
      <c r="J25" t="s">
        <v>55</v>
      </c>
      <c r="N25" t="s">
        <v>413</v>
      </c>
      <c r="O25">
        <f t="shared" si="1"/>
        <v>3</v>
      </c>
      <c r="Q25">
        <v>3</v>
      </c>
      <c r="R25">
        <f>$Q$25*(R12/2)</f>
        <v>3450</v>
      </c>
      <c r="S25">
        <f t="shared" ref="S25:U25" si="6">$Q$25*(S12/2)</f>
        <v>2850</v>
      </c>
      <c r="T25">
        <f t="shared" si="6"/>
        <v>3300</v>
      </c>
      <c r="U25">
        <f t="shared" si="6"/>
        <v>3750</v>
      </c>
    </row>
    <row r="26" spans="1:21" ht="15" thickBot="1" x14ac:dyDescent="0.35">
      <c r="A26" s="3" t="s">
        <v>118</v>
      </c>
      <c r="E26" s="3" t="s">
        <v>68</v>
      </c>
      <c r="G26">
        <v>1</v>
      </c>
      <c r="H26">
        <v>24</v>
      </c>
      <c r="I26" t="s">
        <v>60</v>
      </c>
      <c r="J26" t="s">
        <v>68</v>
      </c>
      <c r="M26" t="s">
        <v>62</v>
      </c>
      <c r="O26">
        <f t="shared" si="1"/>
        <v>3</v>
      </c>
    </row>
    <row r="27" spans="1:21" ht="15" thickBot="1" x14ac:dyDescent="0.35">
      <c r="A27" s="3" t="s">
        <v>119</v>
      </c>
      <c r="E27" s="3" t="s">
        <v>196</v>
      </c>
      <c r="G27">
        <v>1</v>
      </c>
      <c r="H27">
        <v>25</v>
      </c>
      <c r="I27" t="s">
        <v>64</v>
      </c>
      <c r="J27" t="s">
        <v>63</v>
      </c>
      <c r="K27" t="s">
        <v>62</v>
      </c>
      <c r="O27">
        <f t="shared" si="1"/>
        <v>3</v>
      </c>
      <c r="Q27" s="14" t="s">
        <v>459</v>
      </c>
      <c r="R27" s="15">
        <f>SUM(R24:R25)</f>
        <v>219650</v>
      </c>
      <c r="S27" s="15">
        <f t="shared" ref="S27:U27" si="7">SUM(S24:S25)</f>
        <v>181450</v>
      </c>
      <c r="T27" s="15">
        <f t="shared" si="7"/>
        <v>210100</v>
      </c>
      <c r="U27" s="16">
        <f t="shared" si="7"/>
        <v>238750</v>
      </c>
    </row>
    <row r="28" spans="1:21" x14ac:dyDescent="0.3">
      <c r="A28" s="3" t="s">
        <v>120</v>
      </c>
      <c r="E28" s="3" t="s">
        <v>197</v>
      </c>
      <c r="G28">
        <v>1</v>
      </c>
      <c r="H28">
        <v>26</v>
      </c>
      <c r="I28" t="s">
        <v>64</v>
      </c>
      <c r="J28" t="s">
        <v>65</v>
      </c>
      <c r="K28" t="s">
        <v>62</v>
      </c>
      <c r="O28">
        <f t="shared" si="1"/>
        <v>3</v>
      </c>
    </row>
    <row r="29" spans="1:21" x14ac:dyDescent="0.3">
      <c r="A29" s="3" t="s">
        <v>121</v>
      </c>
      <c r="E29" s="3" t="s">
        <v>212</v>
      </c>
      <c r="G29">
        <v>0</v>
      </c>
      <c r="H29">
        <v>27</v>
      </c>
      <c r="I29" t="s">
        <v>436</v>
      </c>
      <c r="J29" t="s">
        <v>139</v>
      </c>
      <c r="O29">
        <f t="shared" si="1"/>
        <v>2</v>
      </c>
    </row>
    <row r="30" spans="1:21" x14ac:dyDescent="0.3">
      <c r="A30" s="3" t="s">
        <v>37</v>
      </c>
      <c r="E30" s="3" t="s">
        <v>213</v>
      </c>
      <c r="G30">
        <v>1</v>
      </c>
      <c r="H30">
        <v>28</v>
      </c>
      <c r="I30" t="s">
        <v>434</v>
      </c>
      <c r="J30" t="s">
        <v>435</v>
      </c>
      <c r="O30">
        <f t="shared" si="1"/>
        <v>2</v>
      </c>
    </row>
    <row r="31" spans="1:21" x14ac:dyDescent="0.3">
      <c r="A31" s="3" t="s">
        <v>38</v>
      </c>
      <c r="E31" s="3" t="s">
        <v>37</v>
      </c>
      <c r="G31">
        <v>0</v>
      </c>
      <c r="H31">
        <v>29</v>
      </c>
      <c r="I31" t="s">
        <v>437</v>
      </c>
      <c r="J31" t="s">
        <v>254</v>
      </c>
      <c r="O31">
        <f t="shared" si="1"/>
        <v>2</v>
      </c>
    </row>
    <row r="32" spans="1:21" x14ac:dyDescent="0.3">
      <c r="A32" s="3" t="s">
        <v>39</v>
      </c>
      <c r="E32" s="3" t="s">
        <v>38</v>
      </c>
      <c r="G32">
        <v>1</v>
      </c>
      <c r="H32">
        <v>30</v>
      </c>
      <c r="I32" t="s">
        <v>147</v>
      </c>
      <c r="J32" t="s">
        <v>148</v>
      </c>
      <c r="K32" t="s">
        <v>149</v>
      </c>
      <c r="O32">
        <f t="shared" si="1"/>
        <v>3</v>
      </c>
    </row>
    <row r="33" spans="1:15" x14ac:dyDescent="0.3">
      <c r="A33" s="3" t="s">
        <v>40</v>
      </c>
      <c r="E33" s="3" t="s">
        <v>39</v>
      </c>
      <c r="G33">
        <v>0</v>
      </c>
      <c r="H33">
        <v>31</v>
      </c>
      <c r="I33" t="s">
        <v>129</v>
      </c>
      <c r="J33" t="s">
        <v>130</v>
      </c>
      <c r="O33">
        <f t="shared" si="1"/>
        <v>2</v>
      </c>
    </row>
    <row r="34" spans="1:15" x14ac:dyDescent="0.3">
      <c r="A34" s="3" t="s">
        <v>41</v>
      </c>
      <c r="E34" s="3" t="s">
        <v>40</v>
      </c>
      <c r="G34">
        <v>1</v>
      </c>
      <c r="H34">
        <v>32</v>
      </c>
      <c r="I34" t="s">
        <v>304</v>
      </c>
      <c r="J34" t="s">
        <v>438</v>
      </c>
      <c r="K34" t="s">
        <v>62</v>
      </c>
      <c r="O34">
        <f t="shared" si="1"/>
        <v>3</v>
      </c>
    </row>
    <row r="35" spans="1:15" x14ac:dyDescent="0.3">
      <c r="A35" s="3" t="s">
        <v>42</v>
      </c>
      <c r="E35" s="3" t="s">
        <v>41</v>
      </c>
      <c r="G35">
        <v>1</v>
      </c>
      <c r="H35">
        <v>33</v>
      </c>
      <c r="I35" t="s">
        <v>88</v>
      </c>
      <c r="J35" t="s">
        <v>86</v>
      </c>
      <c r="O35">
        <f t="shared" si="1"/>
        <v>2</v>
      </c>
    </row>
    <row r="36" spans="1:15" x14ac:dyDescent="0.3">
      <c r="A36" s="3" t="s">
        <v>43</v>
      </c>
      <c r="E36" s="3" t="s">
        <v>42</v>
      </c>
      <c r="G36">
        <v>0</v>
      </c>
      <c r="H36">
        <v>34</v>
      </c>
      <c r="I36" t="s">
        <v>89</v>
      </c>
      <c r="J36" t="s">
        <v>439</v>
      </c>
      <c r="O36">
        <f t="shared" si="1"/>
        <v>2</v>
      </c>
    </row>
    <row r="37" spans="1:15" x14ac:dyDescent="0.3">
      <c r="A37" s="3" t="s">
        <v>44</v>
      </c>
      <c r="G37">
        <v>0</v>
      </c>
      <c r="H37">
        <v>35</v>
      </c>
      <c r="I37" t="s">
        <v>90</v>
      </c>
      <c r="J37" t="s">
        <v>438</v>
      </c>
      <c r="O37">
        <f t="shared" si="1"/>
        <v>2</v>
      </c>
    </row>
    <row r="38" spans="1:15" ht="15" thickBot="1" x14ac:dyDescent="0.35">
      <c r="A38" s="3" t="s">
        <v>48</v>
      </c>
      <c r="G38">
        <v>1</v>
      </c>
      <c r="H38">
        <v>36</v>
      </c>
      <c r="I38" t="s">
        <v>440</v>
      </c>
      <c r="J38" t="s">
        <v>441</v>
      </c>
      <c r="O38">
        <f t="shared" si="1"/>
        <v>2</v>
      </c>
    </row>
    <row r="39" spans="1:15" ht="15" thickBot="1" x14ac:dyDescent="0.35">
      <c r="A39" s="3" t="s">
        <v>49</v>
      </c>
      <c r="E39">
        <f>COUNTA(E4:E36)</f>
        <v>33</v>
      </c>
      <c r="G39" s="17">
        <f>SUM(G3:G38)</f>
        <v>24</v>
      </c>
      <c r="H39">
        <v>37</v>
      </c>
      <c r="I39" t="s">
        <v>39</v>
      </c>
      <c r="J39" t="s">
        <v>716</v>
      </c>
      <c r="K39" t="s">
        <v>420</v>
      </c>
      <c r="M39" t="s">
        <v>421</v>
      </c>
      <c r="O39">
        <f t="shared" si="1"/>
        <v>4</v>
      </c>
    </row>
    <row r="40" spans="1:15" x14ac:dyDescent="0.3">
      <c r="A40" s="3" t="s">
        <v>50</v>
      </c>
      <c r="H40">
        <v>38</v>
      </c>
      <c r="J40" t="s">
        <v>91</v>
      </c>
      <c r="K40" t="s">
        <v>420</v>
      </c>
      <c r="O40">
        <v>2</v>
      </c>
    </row>
    <row r="41" spans="1:15" x14ac:dyDescent="0.3">
      <c r="A41" s="3" t="s">
        <v>51</v>
      </c>
      <c r="H41">
        <v>39</v>
      </c>
      <c r="I41" t="s">
        <v>717</v>
      </c>
      <c r="J41" t="s">
        <v>68</v>
      </c>
      <c r="O41">
        <v>2</v>
      </c>
    </row>
    <row r="42" spans="1:15" x14ac:dyDescent="0.3">
      <c r="A42" s="3" t="s">
        <v>53</v>
      </c>
      <c r="E42">
        <f>COUNTA(E4:E41)</f>
        <v>34</v>
      </c>
      <c r="H42">
        <v>40</v>
      </c>
    </row>
    <row r="43" spans="1:15" x14ac:dyDescent="0.3">
      <c r="A43" s="3" t="s">
        <v>54</v>
      </c>
    </row>
    <row r="44" spans="1:15" x14ac:dyDescent="0.3">
      <c r="A44" s="3" t="s">
        <v>60</v>
      </c>
    </row>
    <row r="45" spans="1:15" x14ac:dyDescent="0.3">
      <c r="A45" s="3" t="s">
        <v>61</v>
      </c>
    </row>
    <row r="46" spans="1:15" x14ac:dyDescent="0.3">
      <c r="A46" s="3" t="s">
        <v>62</v>
      </c>
    </row>
    <row r="47" spans="1:15" x14ac:dyDescent="0.3">
      <c r="A47" s="3" t="s">
        <v>63</v>
      </c>
    </row>
    <row r="48" spans="1:15" x14ac:dyDescent="0.3">
      <c r="A48" s="3" t="s">
        <v>64</v>
      </c>
    </row>
    <row r="49" spans="1:1" x14ac:dyDescent="0.3">
      <c r="A49" s="3" t="s">
        <v>62</v>
      </c>
    </row>
    <row r="50" spans="1:1" x14ac:dyDescent="0.3">
      <c r="A50" s="3" t="s">
        <v>65</v>
      </c>
    </row>
    <row r="51" spans="1:1" x14ac:dyDescent="0.3">
      <c r="A51" s="3" t="s">
        <v>64</v>
      </c>
    </row>
    <row r="52" spans="1:1" x14ac:dyDescent="0.3">
      <c r="A52" s="3" t="s">
        <v>62</v>
      </c>
    </row>
    <row r="53" spans="1:1" x14ac:dyDescent="0.3">
      <c r="A53" s="3" t="s">
        <v>70</v>
      </c>
    </row>
    <row r="54" spans="1:1" x14ac:dyDescent="0.3">
      <c r="A54" s="3" t="s">
        <v>71</v>
      </c>
    </row>
    <row r="55" spans="1:1" x14ac:dyDescent="0.3">
      <c r="A55" s="3" t="s">
        <v>72</v>
      </c>
    </row>
    <row r="56" spans="1:1" x14ac:dyDescent="0.3">
      <c r="A56" s="3" t="s">
        <v>73</v>
      </c>
    </row>
    <row r="57" spans="1:1" x14ac:dyDescent="0.3">
      <c r="A57" s="3" t="s">
        <v>74</v>
      </c>
    </row>
    <row r="58" spans="1:1" x14ac:dyDescent="0.3">
      <c r="A58" s="3" t="s">
        <v>312</v>
      </c>
    </row>
    <row r="59" spans="1:1" x14ac:dyDescent="0.3">
      <c r="A59" s="3" t="s">
        <v>411</v>
      </c>
    </row>
    <row r="60" spans="1:1" x14ac:dyDescent="0.3">
      <c r="A60" s="3" t="s">
        <v>76</v>
      </c>
    </row>
    <row r="61" spans="1:1" x14ac:dyDescent="0.3">
      <c r="A61" s="3" t="s">
        <v>77</v>
      </c>
    </row>
    <row r="62" spans="1:1" x14ac:dyDescent="0.3">
      <c r="A62" s="3" t="s">
        <v>412</v>
      </c>
    </row>
    <row r="63" spans="1:1" x14ac:dyDescent="0.3">
      <c r="A63" s="3" t="s">
        <v>413</v>
      </c>
    </row>
    <row r="64" spans="1:1" x14ac:dyDescent="0.3">
      <c r="A64" s="3" t="s">
        <v>79</v>
      </c>
    </row>
    <row r="65" spans="1:1" x14ac:dyDescent="0.3">
      <c r="A65" s="3" t="s">
        <v>56</v>
      </c>
    </row>
    <row r="66" spans="1:1" x14ac:dyDescent="0.3">
      <c r="A66" s="3" t="s">
        <v>80</v>
      </c>
    </row>
    <row r="67" spans="1:1" x14ac:dyDescent="0.3">
      <c r="A67" s="3" t="s">
        <v>81</v>
      </c>
    </row>
    <row r="68" spans="1:1" x14ac:dyDescent="0.3">
      <c r="A68" s="3" t="s">
        <v>68</v>
      </c>
    </row>
    <row r="69" spans="1:1" x14ac:dyDescent="0.3">
      <c r="A69" s="3" t="s">
        <v>82</v>
      </c>
    </row>
    <row r="70" spans="1:1" x14ac:dyDescent="0.3">
      <c r="A70" s="3" t="s">
        <v>83</v>
      </c>
    </row>
    <row r="71" spans="1:1" x14ac:dyDescent="0.3">
      <c r="A71" s="3" t="s">
        <v>84</v>
      </c>
    </row>
    <row r="72" spans="1:1" x14ac:dyDescent="0.3">
      <c r="A72" s="3" t="s">
        <v>85</v>
      </c>
    </row>
    <row r="73" spans="1:1" x14ac:dyDescent="0.3">
      <c r="A73" s="3" t="s">
        <v>87</v>
      </c>
    </row>
    <row r="74" spans="1:1" x14ac:dyDescent="0.3">
      <c r="A74" s="3" t="s">
        <v>88</v>
      </c>
    </row>
    <row r="75" spans="1:1" x14ac:dyDescent="0.3">
      <c r="A75" s="3" t="s">
        <v>129</v>
      </c>
    </row>
    <row r="76" spans="1:1" x14ac:dyDescent="0.3">
      <c r="A76" s="3" t="s">
        <v>130</v>
      </c>
    </row>
    <row r="77" spans="1:1" x14ac:dyDescent="0.3">
      <c r="A77" s="3" t="s">
        <v>131</v>
      </c>
    </row>
    <row r="78" spans="1:1" x14ac:dyDescent="0.3">
      <c r="A78" s="3" t="s">
        <v>133</v>
      </c>
    </row>
    <row r="79" spans="1:1" x14ac:dyDescent="0.3">
      <c r="A79" s="3" t="s">
        <v>134</v>
      </c>
    </row>
    <row r="80" spans="1:1" x14ac:dyDescent="0.3">
      <c r="A80" s="3" t="s">
        <v>135</v>
      </c>
    </row>
    <row r="81" spans="1:1" x14ac:dyDescent="0.3">
      <c r="A81" s="3" t="s">
        <v>68</v>
      </c>
    </row>
    <row r="82" spans="1:1" x14ac:dyDescent="0.3">
      <c r="A82" s="3" t="s">
        <v>139</v>
      </c>
    </row>
    <row r="83" spans="1:1" x14ac:dyDescent="0.3">
      <c r="A83" s="3" t="s">
        <v>64</v>
      </c>
    </row>
    <row r="84" spans="1:1" x14ac:dyDescent="0.3">
      <c r="A84" s="3" t="s">
        <v>144</v>
      </c>
    </row>
    <row r="85" spans="1:1" x14ac:dyDescent="0.3">
      <c r="A85" s="3" t="s">
        <v>64</v>
      </c>
    </row>
    <row r="86" spans="1:1" x14ac:dyDescent="0.3">
      <c r="A86" s="3" t="s">
        <v>147</v>
      </c>
    </row>
    <row r="87" spans="1:1" x14ac:dyDescent="0.3">
      <c r="A87" s="3" t="s">
        <v>148</v>
      </c>
    </row>
    <row r="88" spans="1:1" x14ac:dyDescent="0.3">
      <c r="A88" s="3" t="s">
        <v>149</v>
      </c>
    </row>
    <row r="89" spans="1:1" x14ac:dyDescent="0.3">
      <c r="A89" s="3" t="s">
        <v>196</v>
      </c>
    </row>
    <row r="90" spans="1:1" x14ac:dyDescent="0.3">
      <c r="A90" s="3" t="s">
        <v>197</v>
      </c>
    </row>
    <row r="91" spans="1:1" x14ac:dyDescent="0.3">
      <c r="A91" s="3" t="s">
        <v>212</v>
      </c>
    </row>
    <row r="92" spans="1:1" x14ac:dyDescent="0.3">
      <c r="A92" s="3" t="s">
        <v>213</v>
      </c>
    </row>
    <row r="93" spans="1:1" x14ac:dyDescent="0.3">
      <c r="A93" s="3" t="s">
        <v>304</v>
      </c>
    </row>
    <row r="94" spans="1:1" x14ac:dyDescent="0.3">
      <c r="A94" s="3" t="s">
        <v>68</v>
      </c>
    </row>
    <row r="95" spans="1:1" x14ac:dyDescent="0.3">
      <c r="A95" s="3" t="s">
        <v>62</v>
      </c>
    </row>
    <row r="96" spans="1:1" x14ac:dyDescent="0.3">
      <c r="A96" s="3" t="s">
        <v>214</v>
      </c>
    </row>
    <row r="97" spans="1:1" x14ac:dyDescent="0.3">
      <c r="A97" s="3" t="s">
        <v>68</v>
      </c>
    </row>
    <row r="98" spans="1:1" x14ac:dyDescent="0.3">
      <c r="A98" s="3" t="s">
        <v>215</v>
      </c>
    </row>
    <row r="99" spans="1:1" x14ac:dyDescent="0.3">
      <c r="A99" s="3" t="s">
        <v>68</v>
      </c>
    </row>
    <row r="100" spans="1:1" x14ac:dyDescent="0.3">
      <c r="A100" s="3" t="s">
        <v>89</v>
      </c>
    </row>
    <row r="101" spans="1:1" x14ac:dyDescent="0.3">
      <c r="A101" s="3" t="s">
        <v>68</v>
      </c>
    </row>
    <row r="102" spans="1:1" x14ac:dyDescent="0.3">
      <c r="A102" s="3" t="s">
        <v>90</v>
      </c>
    </row>
    <row r="103" spans="1:1" x14ac:dyDescent="0.3">
      <c r="A103" s="3" t="s">
        <v>68</v>
      </c>
    </row>
    <row r="106" spans="1:1" x14ac:dyDescent="0.3">
      <c r="A106">
        <f>COUNTA(A3:A104)</f>
        <v>101</v>
      </c>
    </row>
  </sheetData>
  <mergeCells count="1">
    <mergeCell ref="K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5FFC4-6D54-4BA0-BCFF-990F32A6651D}">
  <dimension ref="A1:S64"/>
  <sheetViews>
    <sheetView topLeftCell="A39" zoomScale="117" workbookViewId="0">
      <selection activeCell="E65" sqref="E65"/>
    </sheetView>
  </sheetViews>
  <sheetFormatPr defaultRowHeight="14.4" x14ac:dyDescent="0.3"/>
  <cols>
    <col min="4" max="4" width="9.33203125" bestFit="1" customWidth="1"/>
    <col min="6" max="6" width="10.21875" bestFit="1" customWidth="1"/>
    <col min="12" max="12" width="13.109375" bestFit="1" customWidth="1"/>
    <col min="15" max="15" width="8.88671875" customWidth="1"/>
    <col min="18" max="18" width="10.109375" customWidth="1"/>
  </cols>
  <sheetData>
    <row r="1" spans="1:19" ht="23.4" x14ac:dyDescent="0.45">
      <c r="A1" s="66" t="s">
        <v>734</v>
      </c>
      <c r="B1" s="66"/>
      <c r="C1" s="66"/>
      <c r="D1" s="66"/>
      <c r="E1" s="66"/>
      <c r="F1" s="66"/>
      <c r="G1" s="66"/>
      <c r="H1" s="66"/>
      <c r="I1" s="66"/>
      <c r="J1" s="66"/>
      <c r="K1" s="66"/>
      <c r="L1" s="66"/>
      <c r="M1" s="66"/>
      <c r="N1" s="66"/>
      <c r="O1" s="66"/>
    </row>
    <row r="2" spans="1:19" x14ac:dyDescent="0.3">
      <c r="D2" s="65" t="s">
        <v>417</v>
      </c>
      <c r="E2" s="65"/>
      <c r="F2" s="13" t="s">
        <v>418</v>
      </c>
      <c r="G2" t="s">
        <v>419</v>
      </c>
    </row>
    <row r="3" spans="1:19" x14ac:dyDescent="0.3">
      <c r="B3" t="s">
        <v>415</v>
      </c>
      <c r="C3" t="s">
        <v>416</v>
      </c>
      <c r="D3" t="s">
        <v>420</v>
      </c>
      <c r="E3" t="s">
        <v>421</v>
      </c>
      <c r="J3" t="s">
        <v>738</v>
      </c>
      <c r="K3" t="s">
        <v>739</v>
      </c>
      <c r="L3" t="s">
        <v>747</v>
      </c>
      <c r="M3" t="s">
        <v>741</v>
      </c>
      <c r="N3" t="s">
        <v>743</v>
      </c>
      <c r="O3" t="s">
        <v>748</v>
      </c>
      <c r="R3" t="s">
        <v>697</v>
      </c>
      <c r="S3">
        <v>1</v>
      </c>
    </row>
    <row r="4" spans="1:19" x14ac:dyDescent="0.3">
      <c r="A4">
        <v>1</v>
      </c>
      <c r="B4" t="s">
        <v>301</v>
      </c>
      <c r="C4" t="s">
        <v>302</v>
      </c>
      <c r="D4" t="s">
        <v>154</v>
      </c>
      <c r="E4" t="s">
        <v>303</v>
      </c>
      <c r="H4">
        <f>COUNTA(B4:G4)</f>
        <v>4</v>
      </c>
      <c r="J4">
        <v>2</v>
      </c>
      <c r="L4" t="s">
        <v>303</v>
      </c>
      <c r="M4" t="s">
        <v>697</v>
      </c>
      <c r="N4">
        <v>3</v>
      </c>
      <c r="O4" t="s">
        <v>756</v>
      </c>
      <c r="R4" t="s">
        <v>828</v>
      </c>
      <c r="S4">
        <v>1</v>
      </c>
    </row>
    <row r="5" spans="1:19" x14ac:dyDescent="0.3">
      <c r="A5">
        <v>2</v>
      </c>
      <c r="B5" t="s">
        <v>8</v>
      </c>
      <c r="C5" t="s">
        <v>422</v>
      </c>
      <c r="H5">
        <f t="shared" ref="H5:H39" si="0">COUNTA(B5:G5)</f>
        <v>2</v>
      </c>
      <c r="J5">
        <v>1</v>
      </c>
      <c r="L5" t="s">
        <v>740</v>
      </c>
      <c r="M5" t="s">
        <v>742</v>
      </c>
      <c r="N5">
        <v>3</v>
      </c>
      <c r="O5" t="s">
        <v>753</v>
      </c>
      <c r="R5" t="s">
        <v>829</v>
      </c>
      <c r="S5">
        <v>1</v>
      </c>
    </row>
    <row r="6" spans="1:19" x14ac:dyDescent="0.3">
      <c r="A6">
        <v>3</v>
      </c>
      <c r="B6" t="s">
        <v>423</v>
      </c>
      <c r="C6" t="s">
        <v>318</v>
      </c>
      <c r="D6" t="s">
        <v>11</v>
      </c>
      <c r="H6">
        <f t="shared" si="0"/>
        <v>3</v>
      </c>
      <c r="J6">
        <v>1</v>
      </c>
      <c r="L6" t="s">
        <v>425</v>
      </c>
      <c r="M6" t="s">
        <v>744</v>
      </c>
      <c r="N6">
        <v>4</v>
      </c>
      <c r="O6" t="s">
        <v>755</v>
      </c>
      <c r="R6" t="s">
        <v>830</v>
      </c>
      <c r="S6">
        <v>1</v>
      </c>
    </row>
    <row r="7" spans="1:19" x14ac:dyDescent="0.3">
      <c r="A7">
        <v>4</v>
      </c>
      <c r="B7" t="s">
        <v>424</v>
      </c>
      <c r="C7" t="s">
        <v>13</v>
      </c>
      <c r="D7" t="s">
        <v>15</v>
      </c>
      <c r="E7" t="s">
        <v>478</v>
      </c>
      <c r="H7">
        <f t="shared" si="0"/>
        <v>4</v>
      </c>
      <c r="J7">
        <v>1</v>
      </c>
      <c r="L7" t="s">
        <v>215</v>
      </c>
      <c r="M7" t="s">
        <v>745</v>
      </c>
      <c r="N7">
        <v>2</v>
      </c>
      <c r="O7" t="s">
        <v>749</v>
      </c>
      <c r="R7" t="s">
        <v>109</v>
      </c>
      <c r="S7">
        <v>1</v>
      </c>
    </row>
    <row r="8" spans="1:19" x14ac:dyDescent="0.3">
      <c r="A8">
        <v>5</v>
      </c>
      <c r="B8" t="s">
        <v>425</v>
      </c>
      <c r="C8" t="s">
        <v>320</v>
      </c>
      <c r="G8" t="s">
        <v>414</v>
      </c>
      <c r="H8">
        <f t="shared" si="0"/>
        <v>3</v>
      </c>
      <c r="J8">
        <v>1</v>
      </c>
      <c r="L8" t="s">
        <v>39</v>
      </c>
      <c r="M8" t="s">
        <v>746</v>
      </c>
      <c r="N8">
        <v>2</v>
      </c>
      <c r="O8" t="s">
        <v>752</v>
      </c>
      <c r="R8" t="s">
        <v>831</v>
      </c>
      <c r="S8">
        <v>1</v>
      </c>
    </row>
    <row r="9" spans="1:19" x14ac:dyDescent="0.3">
      <c r="A9">
        <v>6</v>
      </c>
      <c r="C9" t="s">
        <v>426</v>
      </c>
      <c r="E9" t="s">
        <v>427</v>
      </c>
      <c r="H9">
        <f t="shared" si="0"/>
        <v>2</v>
      </c>
      <c r="N9" s="6">
        <f>SUM(N4:N8)</f>
        <v>14</v>
      </c>
      <c r="R9" t="s">
        <v>307</v>
      </c>
      <c r="S9">
        <v>1</v>
      </c>
    </row>
    <row r="10" spans="1:19" x14ac:dyDescent="0.3">
      <c r="A10">
        <v>7</v>
      </c>
      <c r="H10">
        <f t="shared" si="0"/>
        <v>0</v>
      </c>
      <c r="J10">
        <v>1</v>
      </c>
      <c r="R10" t="s">
        <v>832</v>
      </c>
      <c r="S10">
        <v>1</v>
      </c>
    </row>
    <row r="11" spans="1:19" x14ac:dyDescent="0.3">
      <c r="A11">
        <v>8</v>
      </c>
      <c r="B11" t="s">
        <v>115</v>
      </c>
      <c r="C11" t="s">
        <v>116</v>
      </c>
      <c r="E11" t="s">
        <v>117</v>
      </c>
      <c r="H11">
        <f t="shared" si="0"/>
        <v>3</v>
      </c>
      <c r="J11">
        <v>1</v>
      </c>
      <c r="R11" t="s">
        <v>833</v>
      </c>
      <c r="S11">
        <v>1</v>
      </c>
    </row>
    <row r="12" spans="1:19" x14ac:dyDescent="0.3">
      <c r="A12">
        <v>9</v>
      </c>
      <c r="B12" t="s">
        <v>698</v>
      </c>
      <c r="C12" t="s">
        <v>55</v>
      </c>
      <c r="G12" t="s">
        <v>707</v>
      </c>
      <c r="H12">
        <f t="shared" si="0"/>
        <v>3</v>
      </c>
      <c r="J12">
        <v>1</v>
      </c>
      <c r="R12" t="s">
        <v>834</v>
      </c>
      <c r="S12">
        <v>1</v>
      </c>
    </row>
    <row r="13" spans="1:19" x14ac:dyDescent="0.3">
      <c r="A13">
        <v>10</v>
      </c>
      <c r="B13" t="s">
        <v>71</v>
      </c>
      <c r="C13" t="s">
        <v>70</v>
      </c>
      <c r="D13" t="s">
        <v>73</v>
      </c>
      <c r="E13" t="s">
        <v>72</v>
      </c>
      <c r="H13">
        <f t="shared" si="0"/>
        <v>4</v>
      </c>
      <c r="J13">
        <v>1</v>
      </c>
      <c r="R13" t="s">
        <v>835</v>
      </c>
      <c r="S13">
        <v>1</v>
      </c>
    </row>
    <row r="14" spans="1:19" x14ac:dyDescent="0.3">
      <c r="A14">
        <v>11</v>
      </c>
      <c r="B14" t="s">
        <v>74</v>
      </c>
      <c r="C14" t="s">
        <v>312</v>
      </c>
      <c r="F14" t="s">
        <v>428</v>
      </c>
      <c r="G14" t="s">
        <v>411</v>
      </c>
      <c r="H14">
        <f t="shared" si="0"/>
        <v>4</v>
      </c>
      <c r="J14">
        <v>1</v>
      </c>
      <c r="R14" t="s">
        <v>836</v>
      </c>
      <c r="S14">
        <v>1</v>
      </c>
    </row>
    <row r="15" spans="1:19" x14ac:dyDescent="0.3">
      <c r="A15">
        <v>12</v>
      </c>
      <c r="B15" t="s">
        <v>77</v>
      </c>
      <c r="C15" t="s">
        <v>429</v>
      </c>
      <c r="D15" t="s">
        <v>79</v>
      </c>
      <c r="F15" t="s">
        <v>814</v>
      </c>
      <c r="H15">
        <f t="shared" si="0"/>
        <v>4</v>
      </c>
      <c r="R15" t="s">
        <v>837</v>
      </c>
      <c r="S15">
        <v>1</v>
      </c>
    </row>
    <row r="16" spans="1:19" x14ac:dyDescent="0.3">
      <c r="A16">
        <v>13</v>
      </c>
      <c r="B16" t="s">
        <v>286</v>
      </c>
      <c r="C16" t="s">
        <v>80</v>
      </c>
      <c r="D16" t="s">
        <v>82</v>
      </c>
      <c r="H16">
        <f t="shared" si="0"/>
        <v>3</v>
      </c>
      <c r="J16">
        <v>0</v>
      </c>
      <c r="K16">
        <v>3</v>
      </c>
      <c r="L16" t="s">
        <v>754</v>
      </c>
      <c r="R16" t="s">
        <v>838</v>
      </c>
      <c r="S16">
        <v>1</v>
      </c>
    </row>
    <row r="17" spans="1:19" x14ac:dyDescent="0.3">
      <c r="A17">
        <v>14</v>
      </c>
      <c r="B17" t="s">
        <v>81</v>
      </c>
      <c r="C17" t="s">
        <v>430</v>
      </c>
      <c r="H17">
        <f t="shared" si="0"/>
        <v>2</v>
      </c>
      <c r="J17">
        <v>0</v>
      </c>
      <c r="K17">
        <v>2</v>
      </c>
      <c r="L17" t="s">
        <v>425</v>
      </c>
      <c r="R17" t="s">
        <v>839</v>
      </c>
      <c r="S17">
        <v>1</v>
      </c>
    </row>
    <row r="18" spans="1:19" x14ac:dyDescent="0.3">
      <c r="A18">
        <v>15</v>
      </c>
      <c r="B18" t="s">
        <v>431</v>
      </c>
      <c r="C18" t="s">
        <v>85</v>
      </c>
      <c r="D18" s="32"/>
      <c r="H18">
        <f t="shared" si="0"/>
        <v>2</v>
      </c>
      <c r="R18" t="s">
        <v>196</v>
      </c>
      <c r="S18">
        <v>1</v>
      </c>
    </row>
    <row r="19" spans="1:19" x14ac:dyDescent="0.3">
      <c r="A19">
        <v>16</v>
      </c>
      <c r="B19" t="s">
        <v>48</v>
      </c>
      <c r="C19" t="s">
        <v>49</v>
      </c>
      <c r="D19" t="s">
        <v>51</v>
      </c>
      <c r="E19" t="s">
        <v>50</v>
      </c>
      <c r="H19">
        <f t="shared" si="0"/>
        <v>4</v>
      </c>
      <c r="J19">
        <v>1</v>
      </c>
      <c r="R19" t="s">
        <v>212</v>
      </c>
      <c r="S19">
        <v>1</v>
      </c>
    </row>
    <row r="20" spans="1:19" x14ac:dyDescent="0.3">
      <c r="A20">
        <v>17</v>
      </c>
      <c r="B20" t="s">
        <v>52</v>
      </c>
      <c r="C20" t="s">
        <v>54</v>
      </c>
      <c r="D20" t="s">
        <v>53</v>
      </c>
      <c r="H20">
        <f t="shared" si="0"/>
        <v>3</v>
      </c>
      <c r="R20" t="s">
        <v>39</v>
      </c>
      <c r="S20">
        <v>1</v>
      </c>
    </row>
    <row r="21" spans="1:19" x14ac:dyDescent="0.3">
      <c r="A21">
        <v>18</v>
      </c>
      <c r="B21" t="s">
        <v>196</v>
      </c>
      <c r="C21" t="s">
        <v>197</v>
      </c>
      <c r="H21">
        <f t="shared" si="0"/>
        <v>2</v>
      </c>
      <c r="J21">
        <v>1</v>
      </c>
      <c r="R21" t="s">
        <v>60</v>
      </c>
      <c r="S21">
        <v>1</v>
      </c>
    </row>
    <row r="22" spans="1:19" x14ac:dyDescent="0.3">
      <c r="A22">
        <v>19</v>
      </c>
      <c r="B22" t="s">
        <v>212</v>
      </c>
      <c r="C22" t="s">
        <v>432</v>
      </c>
      <c r="H22">
        <f t="shared" si="0"/>
        <v>2</v>
      </c>
      <c r="J22">
        <v>1</v>
      </c>
      <c r="R22" t="s">
        <v>63</v>
      </c>
      <c r="S22">
        <v>1</v>
      </c>
    </row>
    <row r="23" spans="1:19" x14ac:dyDescent="0.3">
      <c r="A23">
        <v>20</v>
      </c>
      <c r="B23" t="s">
        <v>215</v>
      </c>
      <c r="C23" t="s">
        <v>216</v>
      </c>
      <c r="H23">
        <f t="shared" si="0"/>
        <v>2</v>
      </c>
      <c r="R23" t="s">
        <v>65</v>
      </c>
      <c r="S23">
        <v>1</v>
      </c>
    </row>
    <row r="24" spans="1:19" x14ac:dyDescent="0.3">
      <c r="A24">
        <v>21</v>
      </c>
      <c r="B24" t="s">
        <v>214</v>
      </c>
      <c r="C24" t="s">
        <v>217</v>
      </c>
      <c r="H24">
        <f>COUNTA(B24:G24)</f>
        <v>2</v>
      </c>
      <c r="R24" t="s">
        <v>139</v>
      </c>
      <c r="S24">
        <v>1</v>
      </c>
    </row>
    <row r="25" spans="1:19" x14ac:dyDescent="0.3">
      <c r="A25">
        <v>22</v>
      </c>
      <c r="B25" s="32"/>
      <c r="D25" s="32"/>
      <c r="E25" s="32"/>
      <c r="H25">
        <f t="shared" si="0"/>
        <v>0</v>
      </c>
      <c r="J25">
        <v>1</v>
      </c>
      <c r="R25" t="s">
        <v>435</v>
      </c>
      <c r="S25">
        <v>1</v>
      </c>
    </row>
    <row r="26" spans="1:19" x14ac:dyDescent="0.3">
      <c r="A26">
        <v>23</v>
      </c>
      <c r="B26" t="s">
        <v>60</v>
      </c>
      <c r="C26" t="s">
        <v>68</v>
      </c>
      <c r="F26" t="s">
        <v>612</v>
      </c>
      <c r="H26">
        <f t="shared" si="0"/>
        <v>3</v>
      </c>
      <c r="J26">
        <v>1</v>
      </c>
      <c r="R26" t="s">
        <v>254</v>
      </c>
      <c r="S26">
        <v>1</v>
      </c>
    </row>
    <row r="27" spans="1:19" x14ac:dyDescent="0.3">
      <c r="A27">
        <v>24</v>
      </c>
      <c r="B27" t="s">
        <v>64</v>
      </c>
      <c r="C27" t="s">
        <v>63</v>
      </c>
      <c r="D27" t="s">
        <v>815</v>
      </c>
      <c r="H27">
        <f t="shared" si="0"/>
        <v>3</v>
      </c>
      <c r="J27">
        <v>1</v>
      </c>
      <c r="R27" t="s">
        <v>148</v>
      </c>
      <c r="S27">
        <v>1</v>
      </c>
    </row>
    <row r="28" spans="1:19" x14ac:dyDescent="0.3">
      <c r="A28">
        <v>25</v>
      </c>
      <c r="B28" t="s">
        <v>64</v>
      </c>
      <c r="C28" t="s">
        <v>65</v>
      </c>
      <c r="D28" s="32"/>
      <c r="H28">
        <f t="shared" si="0"/>
        <v>2</v>
      </c>
      <c r="R28" t="s">
        <v>130</v>
      </c>
      <c r="S28">
        <v>1</v>
      </c>
    </row>
    <row r="29" spans="1:19" x14ac:dyDescent="0.3">
      <c r="A29">
        <v>26</v>
      </c>
      <c r="B29" t="s">
        <v>436</v>
      </c>
      <c r="C29" t="s">
        <v>139</v>
      </c>
      <c r="H29">
        <f t="shared" si="0"/>
        <v>2</v>
      </c>
      <c r="J29">
        <v>0</v>
      </c>
      <c r="K29">
        <v>2</v>
      </c>
      <c r="L29" t="s">
        <v>750</v>
      </c>
      <c r="R29" t="s">
        <v>438</v>
      </c>
      <c r="S29">
        <v>1</v>
      </c>
    </row>
    <row r="30" spans="1:19" x14ac:dyDescent="0.3">
      <c r="A30">
        <v>27</v>
      </c>
      <c r="B30" t="s">
        <v>434</v>
      </c>
      <c r="C30" t="s">
        <v>435</v>
      </c>
      <c r="H30">
        <f t="shared" si="0"/>
        <v>2</v>
      </c>
      <c r="J30">
        <v>1</v>
      </c>
      <c r="R30" t="s">
        <v>86</v>
      </c>
      <c r="S30">
        <v>1</v>
      </c>
    </row>
    <row r="31" spans="1:19" x14ac:dyDescent="0.3">
      <c r="A31">
        <v>28</v>
      </c>
      <c r="B31" t="s">
        <v>437</v>
      </c>
      <c r="C31" t="s">
        <v>254</v>
      </c>
      <c r="H31">
        <f t="shared" si="0"/>
        <v>2</v>
      </c>
      <c r="J31">
        <v>0</v>
      </c>
      <c r="K31">
        <v>2</v>
      </c>
      <c r="L31" t="s">
        <v>303</v>
      </c>
      <c r="R31" t="s">
        <v>441</v>
      </c>
      <c r="S31">
        <v>1</v>
      </c>
    </row>
    <row r="32" spans="1:19" x14ac:dyDescent="0.3">
      <c r="A32">
        <v>29</v>
      </c>
      <c r="B32" t="s">
        <v>147</v>
      </c>
      <c r="C32" t="s">
        <v>148</v>
      </c>
      <c r="D32" t="s">
        <v>149</v>
      </c>
      <c r="H32">
        <f t="shared" si="0"/>
        <v>3</v>
      </c>
      <c r="J32">
        <v>1</v>
      </c>
      <c r="R32" t="s">
        <v>716</v>
      </c>
      <c r="S32">
        <v>1</v>
      </c>
    </row>
    <row r="33" spans="1:19" x14ac:dyDescent="0.3">
      <c r="A33">
        <v>30</v>
      </c>
      <c r="B33" t="s">
        <v>129</v>
      </c>
      <c r="C33" t="s">
        <v>130</v>
      </c>
      <c r="H33">
        <f t="shared" si="0"/>
        <v>2</v>
      </c>
      <c r="J33">
        <v>0</v>
      </c>
      <c r="K33">
        <v>2</v>
      </c>
      <c r="L33" t="s">
        <v>425</v>
      </c>
      <c r="R33" t="s">
        <v>91</v>
      </c>
      <c r="S33">
        <v>1</v>
      </c>
    </row>
    <row r="34" spans="1:19" x14ac:dyDescent="0.3">
      <c r="A34">
        <v>31</v>
      </c>
      <c r="B34" t="s">
        <v>304</v>
      </c>
      <c r="C34" t="s">
        <v>438</v>
      </c>
      <c r="D34" t="s">
        <v>609</v>
      </c>
      <c r="H34">
        <f t="shared" si="0"/>
        <v>3</v>
      </c>
      <c r="J34">
        <v>1</v>
      </c>
      <c r="R34" t="s">
        <v>717</v>
      </c>
      <c r="S34">
        <v>1</v>
      </c>
    </row>
    <row r="35" spans="1:19" x14ac:dyDescent="0.3">
      <c r="A35">
        <v>32</v>
      </c>
      <c r="B35" t="s">
        <v>88</v>
      </c>
      <c r="C35" t="s">
        <v>86</v>
      </c>
      <c r="H35">
        <f t="shared" si="0"/>
        <v>2</v>
      </c>
      <c r="J35">
        <v>1</v>
      </c>
      <c r="R35" t="s">
        <v>202</v>
      </c>
      <c r="S35">
        <v>1</v>
      </c>
    </row>
    <row r="36" spans="1:19" x14ac:dyDescent="0.3">
      <c r="A36">
        <v>33</v>
      </c>
      <c r="H36">
        <f t="shared" si="0"/>
        <v>0</v>
      </c>
      <c r="R36" t="s">
        <v>251</v>
      </c>
      <c r="S36">
        <v>1</v>
      </c>
    </row>
    <row r="37" spans="1:19" x14ac:dyDescent="0.3">
      <c r="A37">
        <v>34</v>
      </c>
      <c r="B37" s="32"/>
      <c r="C37" s="32"/>
      <c r="H37">
        <f t="shared" si="0"/>
        <v>0</v>
      </c>
      <c r="R37" t="s">
        <v>223</v>
      </c>
      <c r="S37">
        <v>1</v>
      </c>
    </row>
    <row r="38" spans="1:19" x14ac:dyDescent="0.3">
      <c r="A38">
        <v>35</v>
      </c>
      <c r="H38">
        <f t="shared" si="0"/>
        <v>0</v>
      </c>
      <c r="J38">
        <v>0</v>
      </c>
      <c r="K38">
        <v>2</v>
      </c>
      <c r="L38" t="s">
        <v>303</v>
      </c>
      <c r="R38" t="s">
        <v>156</v>
      </c>
      <c r="S38">
        <v>1</v>
      </c>
    </row>
    <row r="39" spans="1:19" x14ac:dyDescent="0.3">
      <c r="A39">
        <v>36</v>
      </c>
      <c r="B39" t="s">
        <v>39</v>
      </c>
      <c r="C39" t="s">
        <v>716</v>
      </c>
      <c r="D39" t="s">
        <v>420</v>
      </c>
      <c r="F39" t="s">
        <v>421</v>
      </c>
      <c r="H39">
        <f t="shared" si="0"/>
        <v>4</v>
      </c>
      <c r="J39">
        <v>1</v>
      </c>
      <c r="R39" t="s">
        <v>118</v>
      </c>
      <c r="S39">
        <v>1</v>
      </c>
    </row>
    <row r="40" spans="1:19" x14ac:dyDescent="0.3">
      <c r="A40">
        <v>37</v>
      </c>
      <c r="B40" t="s">
        <v>810</v>
      </c>
      <c r="C40" t="s">
        <v>91</v>
      </c>
      <c r="D40" t="s">
        <v>811</v>
      </c>
      <c r="H40">
        <f t="shared" ref="H40:H46" si="1">COUNTA(B40:G40)</f>
        <v>3</v>
      </c>
      <c r="J40">
        <v>1</v>
      </c>
      <c r="S40">
        <f>SUM(S3:S39)</f>
        <v>37</v>
      </c>
    </row>
    <row r="41" spans="1:19" x14ac:dyDescent="0.3">
      <c r="A41">
        <v>38</v>
      </c>
      <c r="D41" t="s">
        <v>735</v>
      </c>
      <c r="H41">
        <f t="shared" si="1"/>
        <v>1</v>
      </c>
      <c r="J41">
        <v>1</v>
      </c>
    </row>
    <row r="42" spans="1:19" x14ac:dyDescent="0.3">
      <c r="A42">
        <v>39</v>
      </c>
      <c r="B42" t="s">
        <v>736</v>
      </c>
      <c r="D42" t="s">
        <v>737</v>
      </c>
      <c r="H42">
        <f t="shared" si="1"/>
        <v>2</v>
      </c>
      <c r="J42">
        <v>0</v>
      </c>
      <c r="K42">
        <v>2</v>
      </c>
      <c r="L42" t="s">
        <v>751</v>
      </c>
    </row>
    <row r="43" spans="1:19" x14ac:dyDescent="0.3">
      <c r="A43">
        <v>40</v>
      </c>
      <c r="B43" t="s">
        <v>781</v>
      </c>
      <c r="C43" t="s">
        <v>782</v>
      </c>
      <c r="F43" t="s">
        <v>203</v>
      </c>
      <c r="H43">
        <f t="shared" si="1"/>
        <v>3</v>
      </c>
      <c r="J43" s="6">
        <f>SUM(J4:J42)</f>
        <v>24</v>
      </c>
      <c r="K43" s="6">
        <f>SUM(K4:K42)</f>
        <v>15</v>
      </c>
    </row>
    <row r="44" spans="1:19" x14ac:dyDescent="0.3">
      <c r="A44">
        <v>41</v>
      </c>
      <c r="B44" t="s">
        <v>251</v>
      </c>
      <c r="C44" t="s">
        <v>65</v>
      </c>
      <c r="F44" t="s">
        <v>783</v>
      </c>
      <c r="H44">
        <f t="shared" si="1"/>
        <v>3</v>
      </c>
    </row>
    <row r="45" spans="1:19" x14ac:dyDescent="0.3">
      <c r="A45">
        <v>42</v>
      </c>
      <c r="H45">
        <f t="shared" si="1"/>
        <v>0</v>
      </c>
    </row>
    <row r="46" spans="1:19" x14ac:dyDescent="0.3">
      <c r="A46">
        <v>43</v>
      </c>
      <c r="B46" t="s">
        <v>156</v>
      </c>
      <c r="C46" t="s">
        <v>786</v>
      </c>
      <c r="F46" t="s">
        <v>62</v>
      </c>
      <c r="H46">
        <f t="shared" si="1"/>
        <v>3</v>
      </c>
    </row>
    <row r="47" spans="1:19" x14ac:dyDescent="0.3">
      <c r="A47">
        <v>44</v>
      </c>
      <c r="B47" t="s">
        <v>118</v>
      </c>
      <c r="C47" t="s">
        <v>119</v>
      </c>
      <c r="H47">
        <f t="shared" ref="H47:H55" si="2">COUNTA(B47:G47)</f>
        <v>2</v>
      </c>
    </row>
    <row r="48" spans="1:19" x14ac:dyDescent="0.3">
      <c r="A48">
        <v>45</v>
      </c>
      <c r="B48" t="s">
        <v>223</v>
      </c>
      <c r="C48" t="s">
        <v>65</v>
      </c>
      <c r="D48" t="s">
        <v>784</v>
      </c>
      <c r="E48" t="s">
        <v>785</v>
      </c>
      <c r="H48">
        <f t="shared" si="2"/>
        <v>4</v>
      </c>
    </row>
    <row r="49" spans="1:8" x14ac:dyDescent="0.3">
      <c r="A49">
        <v>46</v>
      </c>
      <c r="B49" t="s">
        <v>168</v>
      </c>
      <c r="C49" t="s">
        <v>879</v>
      </c>
      <c r="H49">
        <f t="shared" si="2"/>
        <v>2</v>
      </c>
    </row>
    <row r="50" spans="1:8" x14ac:dyDescent="0.3">
      <c r="A50">
        <v>47</v>
      </c>
      <c r="B50" t="s">
        <v>205</v>
      </c>
      <c r="C50" t="s">
        <v>158</v>
      </c>
      <c r="H50">
        <f t="shared" si="2"/>
        <v>2</v>
      </c>
    </row>
    <row r="51" spans="1:8" x14ac:dyDescent="0.3">
      <c r="A51">
        <v>48</v>
      </c>
      <c r="C51" t="s">
        <v>153</v>
      </c>
      <c r="H51">
        <f t="shared" si="2"/>
        <v>1</v>
      </c>
    </row>
    <row r="52" spans="1:8" x14ac:dyDescent="0.3">
      <c r="A52">
        <v>49</v>
      </c>
      <c r="C52" t="s">
        <v>18</v>
      </c>
      <c r="H52">
        <f t="shared" si="2"/>
        <v>1</v>
      </c>
    </row>
    <row r="53" spans="1:8" x14ac:dyDescent="0.3">
      <c r="A53">
        <v>50</v>
      </c>
      <c r="C53" t="s">
        <v>880</v>
      </c>
      <c r="H53">
        <f t="shared" si="2"/>
        <v>1</v>
      </c>
    </row>
    <row r="54" spans="1:8" x14ac:dyDescent="0.3">
      <c r="A54">
        <v>51</v>
      </c>
      <c r="B54" t="s">
        <v>166</v>
      </c>
      <c r="C54" t="s">
        <v>881</v>
      </c>
      <c r="H54">
        <f t="shared" si="2"/>
        <v>2</v>
      </c>
    </row>
    <row r="55" spans="1:8" x14ac:dyDescent="0.3">
      <c r="A55">
        <v>52</v>
      </c>
      <c r="B55" t="s">
        <v>882</v>
      </c>
      <c r="C55" t="s">
        <v>68</v>
      </c>
      <c r="H55">
        <f t="shared" si="2"/>
        <v>2</v>
      </c>
    </row>
    <row r="57" spans="1:8" x14ac:dyDescent="0.3">
      <c r="B57">
        <f>COUNTA(B4:B55)</f>
        <v>41</v>
      </c>
      <c r="C57">
        <f>COUNTA(C4:C55)</f>
        <v>44</v>
      </c>
      <c r="D57">
        <f>COUNTA(D4:D54)</f>
        <v>16</v>
      </c>
      <c r="E57">
        <f>COUNTA(E4:E54)</f>
        <v>7</v>
      </c>
      <c r="F57">
        <f>COUNTA(F4:F54)</f>
        <v>7</v>
      </c>
      <c r="G57">
        <f>COUNTA(G7:G54)</f>
        <v>3</v>
      </c>
      <c r="H57" s="6">
        <f>SUM(H4:H56)</f>
        <v>118</v>
      </c>
    </row>
    <row r="58" spans="1:8" x14ac:dyDescent="0.3">
      <c r="H58">
        <v>126</v>
      </c>
    </row>
    <row r="63" spans="1:8" x14ac:dyDescent="0.3">
      <c r="E63">
        <f>44+7</f>
        <v>51</v>
      </c>
    </row>
    <row r="64" spans="1:8" x14ac:dyDescent="0.3">
      <c r="E64">
        <f>51-4</f>
        <v>47</v>
      </c>
    </row>
  </sheetData>
  <mergeCells count="2">
    <mergeCell ref="D2:E2"/>
    <mergeCell ref="A1:O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851E7-4AE3-4488-8A22-044995DE19B4}">
  <dimension ref="A1:AZ100"/>
  <sheetViews>
    <sheetView topLeftCell="AA1" zoomScale="77" workbookViewId="0">
      <selection activeCell="AK4" sqref="AK4:AL4"/>
    </sheetView>
  </sheetViews>
  <sheetFormatPr defaultRowHeight="14.4" x14ac:dyDescent="0.3"/>
  <cols>
    <col min="1" max="16384" width="8.88671875" style="3"/>
  </cols>
  <sheetData>
    <row r="1" spans="1:52" ht="23.4" x14ac:dyDescent="0.3">
      <c r="A1" s="7" t="s">
        <v>305</v>
      </c>
    </row>
    <row r="2" spans="1:52" ht="18" x14ac:dyDescent="0.3">
      <c r="H2" s="3" t="s">
        <v>311</v>
      </c>
      <c r="T2" s="68" t="s">
        <v>712</v>
      </c>
      <c r="U2" s="68"/>
      <c r="V2" s="68"/>
      <c r="Z2" s="68" t="s">
        <v>713</v>
      </c>
      <c r="AA2" s="68"/>
      <c r="AB2" s="68"/>
      <c r="AC2" s="68"/>
      <c r="AD2" s="68"/>
      <c r="AE2" s="68"/>
      <c r="AF2" s="68"/>
      <c r="AG2" s="68"/>
      <c r="AL2" s="3" t="s">
        <v>715</v>
      </c>
    </row>
    <row r="3" spans="1:52" x14ac:dyDescent="0.3">
      <c r="D3" s="3" t="s">
        <v>310</v>
      </c>
      <c r="H3" s="3" t="s">
        <v>37</v>
      </c>
      <c r="I3" s="62">
        <v>407</v>
      </c>
    </row>
    <row r="4" spans="1:52" x14ac:dyDescent="0.3">
      <c r="A4" s="3" t="s">
        <v>301</v>
      </c>
      <c r="B4" s="62">
        <v>101</v>
      </c>
      <c r="D4" s="3" t="s">
        <v>8</v>
      </c>
      <c r="E4" s="62">
        <v>103</v>
      </c>
      <c r="H4" s="3" t="s">
        <v>39</v>
      </c>
      <c r="I4" s="62"/>
      <c r="T4" s="67">
        <v>102</v>
      </c>
      <c r="U4" s="67"/>
      <c r="V4" s="67">
        <v>104</v>
      </c>
      <c r="W4" s="67"/>
      <c r="Z4" s="67">
        <v>202</v>
      </c>
      <c r="AA4" s="67"/>
      <c r="AB4" s="67">
        <v>204</v>
      </c>
      <c r="AC4" s="67"/>
      <c r="AD4" s="67">
        <v>302</v>
      </c>
      <c r="AE4" s="67"/>
      <c r="AF4" s="67">
        <v>304</v>
      </c>
      <c r="AG4" s="67"/>
      <c r="AK4" s="67">
        <v>403</v>
      </c>
      <c r="AL4" s="67"/>
      <c r="AM4" s="67">
        <v>404</v>
      </c>
      <c r="AN4" s="67"/>
      <c r="AO4" s="67">
        <v>407</v>
      </c>
      <c r="AP4" s="67"/>
      <c r="AQ4" s="67">
        <v>408</v>
      </c>
      <c r="AR4" s="67"/>
      <c r="AS4" s="67">
        <v>503</v>
      </c>
      <c r="AT4" s="67"/>
      <c r="AU4" s="67">
        <v>504</v>
      </c>
      <c r="AV4" s="67"/>
      <c r="AW4" s="67">
        <v>507</v>
      </c>
      <c r="AX4" s="67"/>
      <c r="AY4" s="67">
        <v>508</v>
      </c>
      <c r="AZ4" s="67"/>
    </row>
    <row r="5" spans="1:52" x14ac:dyDescent="0.3">
      <c r="A5" s="3" t="s">
        <v>302</v>
      </c>
      <c r="B5" s="62"/>
      <c r="D5" s="3" t="s">
        <v>7</v>
      </c>
      <c r="E5" s="62"/>
      <c r="H5" s="3" t="s">
        <v>40</v>
      </c>
      <c r="I5" s="62"/>
      <c r="L5" s="67" t="s">
        <v>706</v>
      </c>
      <c r="M5" s="67"/>
      <c r="N5" s="67"/>
      <c r="O5" s="67"/>
      <c r="T5" s="3" t="s">
        <v>48</v>
      </c>
      <c r="V5" s="3" t="s">
        <v>89</v>
      </c>
      <c r="Z5" s="3" t="s">
        <v>76</v>
      </c>
      <c r="AB5" s="3" t="s">
        <v>56</v>
      </c>
      <c r="AD5" s="3" t="s">
        <v>214</v>
      </c>
      <c r="AF5" s="3" t="s">
        <v>63</v>
      </c>
      <c r="AK5" s="3" t="s">
        <v>113</v>
      </c>
      <c r="AM5" s="3" t="s">
        <v>196</v>
      </c>
      <c r="AO5" s="3" t="s">
        <v>37</v>
      </c>
      <c r="AQ5" s="3" t="s">
        <v>43</v>
      </c>
      <c r="AS5" s="3" t="s">
        <v>60</v>
      </c>
      <c r="AU5" s="3" t="s">
        <v>147</v>
      </c>
      <c r="AW5" s="3" t="s">
        <v>144</v>
      </c>
      <c r="AY5" s="3" t="s">
        <v>118</v>
      </c>
    </row>
    <row r="6" spans="1:52" x14ac:dyDescent="0.3">
      <c r="A6" s="3" t="s">
        <v>303</v>
      </c>
      <c r="B6" s="62"/>
      <c r="D6" s="3" t="s">
        <v>9</v>
      </c>
      <c r="E6" s="62"/>
      <c r="T6" s="3" t="s">
        <v>49</v>
      </c>
      <c r="V6" s="3" t="s">
        <v>68</v>
      </c>
      <c r="Z6" s="3" t="s">
        <v>77</v>
      </c>
      <c r="AB6" s="3" t="s">
        <v>80</v>
      </c>
      <c r="AD6" s="3" t="s">
        <v>68</v>
      </c>
      <c r="AF6" s="3" t="s">
        <v>64</v>
      </c>
      <c r="AK6" s="3" t="s">
        <v>114</v>
      </c>
      <c r="AM6" s="3" t="s">
        <v>197</v>
      </c>
      <c r="AO6" s="3" t="s">
        <v>39</v>
      </c>
      <c r="AQ6" s="3" t="s">
        <v>44</v>
      </c>
      <c r="AS6" s="3" t="s">
        <v>61</v>
      </c>
      <c r="AU6" s="3" t="s">
        <v>148</v>
      </c>
      <c r="AW6" s="3" t="s">
        <v>64</v>
      </c>
      <c r="AY6" s="31" t="s">
        <v>119</v>
      </c>
    </row>
    <row r="7" spans="1:52" x14ac:dyDescent="0.3">
      <c r="A7" s="3" t="s">
        <v>154</v>
      </c>
      <c r="B7" s="62"/>
      <c r="D7" s="3" t="s">
        <v>10</v>
      </c>
      <c r="E7" s="62"/>
      <c r="H7" s="3" t="s">
        <v>43</v>
      </c>
      <c r="I7" s="62">
        <v>408</v>
      </c>
      <c r="M7" s="3" t="s">
        <v>699</v>
      </c>
      <c r="N7" s="3" t="s">
        <v>700</v>
      </c>
      <c r="O7" s="3" t="s">
        <v>701</v>
      </c>
      <c r="T7" s="3" t="s">
        <v>50</v>
      </c>
      <c r="V7" s="3" t="s">
        <v>90</v>
      </c>
      <c r="Z7" s="3" t="s">
        <v>78</v>
      </c>
      <c r="AB7" s="3" t="s">
        <v>81</v>
      </c>
      <c r="AD7" s="3" t="s">
        <v>212</v>
      </c>
      <c r="AF7" s="3" t="s">
        <v>62</v>
      </c>
      <c r="AO7" s="3" t="s">
        <v>40</v>
      </c>
      <c r="AQ7" s="31" t="s">
        <v>38</v>
      </c>
      <c r="AS7" s="3" t="s">
        <v>62</v>
      </c>
      <c r="AU7" s="3" t="s">
        <v>149</v>
      </c>
      <c r="AY7" s="3" t="s">
        <v>718</v>
      </c>
    </row>
    <row r="8" spans="1:52" x14ac:dyDescent="0.3">
      <c r="B8" s="2"/>
      <c r="D8" s="3" t="s">
        <v>11</v>
      </c>
      <c r="E8" s="62"/>
      <c r="H8" s="3" t="s">
        <v>44</v>
      </c>
      <c r="I8" s="62"/>
      <c r="L8" s="3" t="s">
        <v>703</v>
      </c>
      <c r="M8" s="3">
        <v>2</v>
      </c>
      <c r="N8" s="3">
        <v>2</v>
      </c>
      <c r="O8" s="3">
        <v>4</v>
      </c>
      <c r="T8" s="3" t="s">
        <v>51</v>
      </c>
      <c r="V8" s="3" t="s">
        <v>68</v>
      </c>
      <c r="Z8" s="3" t="s">
        <v>72</v>
      </c>
      <c r="AB8" s="3" t="s">
        <v>68</v>
      </c>
      <c r="AD8" s="3" t="s">
        <v>213</v>
      </c>
      <c r="AF8" s="3" t="s">
        <v>65</v>
      </c>
      <c r="AY8" s="3" t="s">
        <v>91</v>
      </c>
    </row>
    <row r="9" spans="1:52" x14ac:dyDescent="0.3">
      <c r="H9" s="3" t="s">
        <v>38</v>
      </c>
      <c r="I9" s="62"/>
      <c r="L9" s="3" t="s">
        <v>704</v>
      </c>
      <c r="M9" s="3">
        <v>4</v>
      </c>
      <c r="N9" s="3">
        <v>4</v>
      </c>
      <c r="O9" s="3">
        <v>8</v>
      </c>
      <c r="T9" s="3" t="s">
        <v>52</v>
      </c>
      <c r="V9" s="3" t="s">
        <v>309</v>
      </c>
      <c r="Z9" s="3" t="s">
        <v>73</v>
      </c>
      <c r="AB9" s="3" t="s">
        <v>82</v>
      </c>
      <c r="AD9" s="3" t="s">
        <v>215</v>
      </c>
      <c r="AF9" s="3" t="s">
        <v>64</v>
      </c>
      <c r="AY9" s="3" t="s">
        <v>720</v>
      </c>
    </row>
    <row r="10" spans="1:52" x14ac:dyDescent="0.3">
      <c r="D10" s="3" t="s">
        <v>13</v>
      </c>
      <c r="E10" s="62">
        <v>201</v>
      </c>
      <c r="L10" s="3" t="s">
        <v>702</v>
      </c>
      <c r="M10" s="3">
        <v>8</v>
      </c>
      <c r="N10" s="3">
        <v>8</v>
      </c>
      <c r="O10" s="3">
        <v>16</v>
      </c>
      <c r="T10" s="3" t="s">
        <v>53</v>
      </c>
      <c r="V10" s="3" t="s">
        <v>88</v>
      </c>
      <c r="AD10" s="3" t="s">
        <v>68</v>
      </c>
      <c r="AF10" s="3" t="s">
        <v>62</v>
      </c>
    </row>
    <row r="11" spans="1:52" x14ac:dyDescent="0.3">
      <c r="D11" s="3" t="s">
        <v>14</v>
      </c>
      <c r="E11" s="62"/>
      <c r="L11" s="3" t="s">
        <v>705</v>
      </c>
      <c r="M11" s="3">
        <v>5</v>
      </c>
      <c r="N11" s="3">
        <v>0</v>
      </c>
      <c r="O11" s="3">
        <v>5</v>
      </c>
      <c r="T11" s="3" t="s">
        <v>54</v>
      </c>
    </row>
    <row r="12" spans="1:52" x14ac:dyDescent="0.3">
      <c r="D12" s="3" t="s">
        <v>17</v>
      </c>
      <c r="E12" s="62"/>
      <c r="O12" s="4">
        <v>33</v>
      </c>
    </row>
    <row r="13" spans="1:52" x14ac:dyDescent="0.3">
      <c r="D13" s="3" t="s">
        <v>16</v>
      </c>
      <c r="E13" s="62"/>
      <c r="H13" s="3" t="s">
        <v>48</v>
      </c>
      <c r="I13" s="62">
        <v>102</v>
      </c>
      <c r="T13" s="67">
        <v>101</v>
      </c>
      <c r="U13" s="67"/>
      <c r="V13" s="67">
        <v>103</v>
      </c>
      <c r="W13" s="67"/>
      <c r="Z13" s="67">
        <v>201</v>
      </c>
      <c r="AA13" s="67"/>
      <c r="AB13" s="67">
        <v>203</v>
      </c>
      <c r="AC13" s="67"/>
      <c r="AD13" s="67">
        <v>301</v>
      </c>
      <c r="AE13" s="67"/>
      <c r="AF13" s="67">
        <v>303</v>
      </c>
      <c r="AG13" s="67"/>
      <c r="AK13" s="67">
        <v>401</v>
      </c>
      <c r="AL13" s="67"/>
      <c r="AM13" s="67">
        <v>402</v>
      </c>
      <c r="AN13" s="67"/>
      <c r="AO13" s="67">
        <v>405</v>
      </c>
      <c r="AP13" s="67"/>
      <c r="AQ13" s="67">
        <v>406</v>
      </c>
      <c r="AR13" s="67"/>
      <c r="AS13" s="67">
        <v>501</v>
      </c>
      <c r="AT13" s="67"/>
      <c r="AU13" s="67">
        <v>502</v>
      </c>
      <c r="AV13" s="67"/>
      <c r="AW13" s="67">
        <v>505</v>
      </c>
      <c r="AX13" s="67"/>
      <c r="AY13" s="67">
        <v>506</v>
      </c>
      <c r="AZ13" s="67"/>
    </row>
    <row r="14" spans="1:52" x14ac:dyDescent="0.3">
      <c r="D14" s="3" t="s">
        <v>15</v>
      </c>
      <c r="E14" s="62"/>
      <c r="H14" s="3" t="s">
        <v>49</v>
      </c>
      <c r="I14" s="62"/>
      <c r="T14" s="3" t="s">
        <v>301</v>
      </c>
      <c r="V14" s="3" t="s">
        <v>8</v>
      </c>
      <c r="Z14" s="3" t="s">
        <v>13</v>
      </c>
      <c r="AB14" s="3" t="s">
        <v>70</v>
      </c>
      <c r="AD14" s="3" t="s">
        <v>116</v>
      </c>
      <c r="AK14" s="3" t="s">
        <v>110</v>
      </c>
      <c r="AM14" s="3" t="s">
        <v>135</v>
      </c>
      <c r="AO14" s="3" t="s">
        <v>304</v>
      </c>
      <c r="AQ14" s="3" t="s">
        <v>55</v>
      </c>
      <c r="AS14" s="3" t="s">
        <v>129</v>
      </c>
      <c r="AU14" s="33" t="s">
        <v>83</v>
      </c>
      <c r="AW14" s="3" t="s">
        <v>139</v>
      </c>
      <c r="AY14" s="3" t="s">
        <v>434</v>
      </c>
    </row>
    <row r="15" spans="1:52" x14ac:dyDescent="0.3">
      <c r="H15" s="3" t="s">
        <v>50</v>
      </c>
      <c r="I15" s="62"/>
      <c r="L15" s="3" t="s">
        <v>709</v>
      </c>
      <c r="M15" s="4">
        <v>102</v>
      </c>
      <c r="N15" s="4">
        <v>101</v>
      </c>
      <c r="P15" s="3" t="s">
        <v>711</v>
      </c>
      <c r="T15" s="3" t="s">
        <v>302</v>
      </c>
      <c r="V15" s="3" t="s">
        <v>7</v>
      </c>
      <c r="Z15" s="3" t="s">
        <v>14</v>
      </c>
      <c r="AB15" s="3" t="s">
        <v>71</v>
      </c>
      <c r="AD15" s="3" t="s">
        <v>307</v>
      </c>
      <c r="AK15" s="3" t="s">
        <v>708</v>
      </c>
      <c r="AM15" s="3" t="s">
        <v>68</v>
      </c>
      <c r="AO15" s="3" t="s">
        <v>68</v>
      </c>
      <c r="AQ15" s="3" t="s">
        <v>714</v>
      </c>
      <c r="AS15" s="3" t="s">
        <v>130</v>
      </c>
      <c r="AU15" s="33" t="s">
        <v>84</v>
      </c>
      <c r="AW15" s="3" t="s">
        <v>64</v>
      </c>
      <c r="AY15" s="3" t="s">
        <v>435</v>
      </c>
    </row>
    <row r="16" spans="1:52" x14ac:dyDescent="0.3">
      <c r="D16" s="3" t="s">
        <v>110</v>
      </c>
      <c r="E16" s="62">
        <v>401</v>
      </c>
      <c r="H16" s="3" t="s">
        <v>51</v>
      </c>
      <c r="I16" s="62"/>
      <c r="M16" s="4">
        <v>104</v>
      </c>
      <c r="N16" s="4">
        <v>103</v>
      </c>
      <c r="T16" s="3" t="s">
        <v>303</v>
      </c>
      <c r="V16" s="3" t="s">
        <v>9</v>
      </c>
      <c r="Z16" s="3" t="s">
        <v>17</v>
      </c>
      <c r="AB16" s="3" t="s">
        <v>312</v>
      </c>
      <c r="AD16" s="3" t="s">
        <v>117</v>
      </c>
      <c r="AO16" s="3" t="s">
        <v>62</v>
      </c>
      <c r="AU16" s="3" t="s">
        <v>85</v>
      </c>
    </row>
    <row r="17" spans="4:49" x14ac:dyDescent="0.3">
      <c r="D17" s="3" t="s">
        <v>111</v>
      </c>
      <c r="E17" s="62"/>
      <c r="H17" s="3" t="s">
        <v>52</v>
      </c>
      <c r="I17" s="62"/>
      <c r="T17" s="3" t="s">
        <v>154</v>
      </c>
      <c r="V17" s="3" t="s">
        <v>10</v>
      </c>
      <c r="Z17" s="3" t="s">
        <v>16</v>
      </c>
      <c r="AB17" s="3" t="s">
        <v>74</v>
      </c>
      <c r="AD17" s="31" t="s">
        <v>121</v>
      </c>
      <c r="AU17" s="3" t="s">
        <v>718</v>
      </c>
    </row>
    <row r="18" spans="4:49" x14ac:dyDescent="0.3">
      <c r="D18" s="3" t="s">
        <v>708</v>
      </c>
      <c r="E18" s="62"/>
      <c r="H18" s="3" t="s">
        <v>53</v>
      </c>
      <c r="I18" s="62"/>
      <c r="L18" s="3" t="s">
        <v>704</v>
      </c>
      <c r="M18" s="4">
        <v>202</v>
      </c>
      <c r="N18" s="4">
        <v>201</v>
      </c>
      <c r="V18" s="3" t="s">
        <v>11</v>
      </c>
      <c r="Z18" s="3" t="s">
        <v>15</v>
      </c>
      <c r="AB18" s="3" t="s">
        <v>79</v>
      </c>
      <c r="AD18" s="31" t="s">
        <v>120</v>
      </c>
      <c r="AU18" s="3" t="s">
        <v>39</v>
      </c>
    </row>
    <row r="19" spans="4:49" x14ac:dyDescent="0.3">
      <c r="H19" s="3" t="s">
        <v>54</v>
      </c>
      <c r="I19" s="62"/>
      <c r="M19" s="4">
        <v>204</v>
      </c>
      <c r="N19" s="4">
        <v>203</v>
      </c>
      <c r="Z19" s="3" t="s">
        <v>478</v>
      </c>
      <c r="AB19" s="34" t="s">
        <v>85</v>
      </c>
      <c r="AD19" s="34" t="s">
        <v>118</v>
      </c>
      <c r="AU19" s="3" t="s">
        <v>716</v>
      </c>
    </row>
    <row r="20" spans="4:49" x14ac:dyDescent="0.3">
      <c r="M20" s="4">
        <v>302</v>
      </c>
      <c r="N20" s="3">
        <v>301</v>
      </c>
      <c r="AU20" s="3" t="s">
        <v>719</v>
      </c>
    </row>
    <row r="21" spans="4:49" ht="21" x14ac:dyDescent="0.3">
      <c r="M21" s="4">
        <v>304</v>
      </c>
      <c r="N21" s="3">
        <v>303</v>
      </c>
      <c r="U21" s="29">
        <v>22</v>
      </c>
      <c r="Z21" s="5">
        <v>21</v>
      </c>
      <c r="AD21" s="5">
        <v>17</v>
      </c>
      <c r="AL21" s="5">
        <v>9</v>
      </c>
      <c r="AM21" s="30"/>
      <c r="AN21" s="30"/>
      <c r="AO21" s="5">
        <v>12</v>
      </c>
      <c r="AP21" s="30"/>
      <c r="AQ21" s="30"/>
      <c r="AR21" s="30"/>
      <c r="AS21" s="5">
        <v>11</v>
      </c>
      <c r="AT21" s="30"/>
      <c r="AU21" s="30"/>
      <c r="AV21" s="30"/>
      <c r="AW21" s="5">
        <v>8</v>
      </c>
    </row>
    <row r="22" spans="4:49" x14ac:dyDescent="0.3">
      <c r="D22" s="3" t="s">
        <v>113</v>
      </c>
      <c r="E22" s="62">
        <v>403</v>
      </c>
      <c r="H22" s="3" t="s">
        <v>60</v>
      </c>
      <c r="I22" s="62">
        <v>503</v>
      </c>
    </row>
    <row r="23" spans="4:49" x14ac:dyDescent="0.3">
      <c r="D23" s="3" t="s">
        <v>114</v>
      </c>
      <c r="E23" s="62"/>
      <c r="H23" s="3" t="s">
        <v>61</v>
      </c>
      <c r="I23" s="62"/>
      <c r="L23" s="3" t="s">
        <v>710</v>
      </c>
      <c r="M23" s="4">
        <v>403</v>
      </c>
      <c r="N23" s="4">
        <v>401</v>
      </c>
    </row>
    <row r="24" spans="4:49" x14ac:dyDescent="0.3">
      <c r="H24" s="3" t="s">
        <v>62</v>
      </c>
      <c r="I24" s="62"/>
      <c r="M24" s="4">
        <v>404</v>
      </c>
      <c r="N24" s="4">
        <v>402</v>
      </c>
    </row>
    <row r="25" spans="4:49" x14ac:dyDescent="0.3">
      <c r="M25" s="4">
        <v>407</v>
      </c>
      <c r="N25" s="4">
        <v>405</v>
      </c>
    </row>
    <row r="26" spans="4:49" ht="21" x14ac:dyDescent="0.3">
      <c r="D26" s="3" t="s">
        <v>116</v>
      </c>
      <c r="E26" s="62">
        <v>301</v>
      </c>
      <c r="H26" s="3" t="s">
        <v>83</v>
      </c>
      <c r="I26" s="62">
        <v>406</v>
      </c>
      <c r="M26" s="4">
        <v>408</v>
      </c>
      <c r="N26" s="4">
        <v>406</v>
      </c>
      <c r="AB26" s="5">
        <f>21+17</f>
        <v>38</v>
      </c>
      <c r="AN26" s="29">
        <f>12+9</f>
        <v>21</v>
      </c>
      <c r="AU26" s="5">
        <f>11+8</f>
        <v>19</v>
      </c>
    </row>
    <row r="27" spans="4:49" x14ac:dyDescent="0.3">
      <c r="D27" s="3" t="s">
        <v>307</v>
      </c>
      <c r="E27" s="62"/>
      <c r="H27" s="3" t="s">
        <v>84</v>
      </c>
      <c r="I27" s="62"/>
      <c r="M27" s="4">
        <v>503</v>
      </c>
      <c r="N27" s="4">
        <v>501</v>
      </c>
    </row>
    <row r="28" spans="4:49" x14ac:dyDescent="0.3">
      <c r="D28" s="3" t="s">
        <v>117</v>
      </c>
      <c r="E28" s="62"/>
      <c r="H28" s="3" t="s">
        <v>85</v>
      </c>
      <c r="I28" s="62"/>
      <c r="M28" s="4">
        <v>504</v>
      </c>
      <c r="N28" s="4">
        <v>502</v>
      </c>
    </row>
    <row r="29" spans="4:49" x14ac:dyDescent="0.3">
      <c r="M29" s="4">
        <v>507</v>
      </c>
      <c r="N29" s="4">
        <v>505</v>
      </c>
    </row>
    <row r="30" spans="4:49" x14ac:dyDescent="0.3">
      <c r="H30" s="3" t="s">
        <v>304</v>
      </c>
      <c r="I30" s="62">
        <v>405</v>
      </c>
      <c r="M30" s="4">
        <v>508</v>
      </c>
      <c r="N30" s="4">
        <v>506</v>
      </c>
    </row>
    <row r="31" spans="4:49" x14ac:dyDescent="0.3">
      <c r="D31" s="3" t="s">
        <v>70</v>
      </c>
      <c r="E31" s="62">
        <v>203</v>
      </c>
      <c r="H31" s="3" t="s">
        <v>68</v>
      </c>
      <c r="I31" s="62"/>
    </row>
    <row r="32" spans="4:49" ht="18" x14ac:dyDescent="0.3">
      <c r="D32" s="3" t="s">
        <v>71</v>
      </c>
      <c r="E32" s="62"/>
      <c r="H32" s="3" t="s">
        <v>62</v>
      </c>
      <c r="I32" s="62"/>
      <c r="AQ32" s="5">
        <f>21+19</f>
        <v>40</v>
      </c>
    </row>
    <row r="33" spans="4:9" x14ac:dyDescent="0.3">
      <c r="D33" s="3" t="s">
        <v>312</v>
      </c>
      <c r="E33" s="62"/>
    </row>
    <row r="34" spans="4:9" x14ac:dyDescent="0.3">
      <c r="D34" s="3" t="s">
        <v>74</v>
      </c>
      <c r="E34" s="62"/>
      <c r="H34" s="3" t="s">
        <v>129</v>
      </c>
      <c r="I34" s="62">
        <v>501</v>
      </c>
    </row>
    <row r="35" spans="4:9" x14ac:dyDescent="0.3">
      <c r="D35" s="3" t="s">
        <v>79</v>
      </c>
      <c r="E35" s="62"/>
      <c r="H35" s="3" t="s">
        <v>130</v>
      </c>
      <c r="I35" s="62"/>
    </row>
    <row r="36" spans="4:9" x14ac:dyDescent="0.3">
      <c r="E36" s="2"/>
      <c r="H36" s="3" t="s">
        <v>131</v>
      </c>
      <c r="I36" s="62"/>
    </row>
    <row r="37" spans="4:9" x14ac:dyDescent="0.3">
      <c r="D37" s="3" t="s">
        <v>76</v>
      </c>
      <c r="E37" s="62">
        <v>202</v>
      </c>
    </row>
    <row r="38" spans="4:9" x14ac:dyDescent="0.3">
      <c r="D38" s="3" t="s">
        <v>77</v>
      </c>
      <c r="E38" s="62"/>
      <c r="H38" s="3" t="s">
        <v>135</v>
      </c>
      <c r="I38" s="62">
        <v>502</v>
      </c>
    </row>
    <row r="39" spans="4:9" x14ac:dyDescent="0.3">
      <c r="D39" s="3" t="s">
        <v>78</v>
      </c>
      <c r="E39" s="62"/>
      <c r="H39" s="3" t="s">
        <v>68</v>
      </c>
      <c r="I39" s="62"/>
    </row>
    <row r="40" spans="4:9" x14ac:dyDescent="0.3">
      <c r="D40" s="3" t="s">
        <v>72</v>
      </c>
      <c r="E40" s="62"/>
    </row>
    <row r="41" spans="4:9" x14ac:dyDescent="0.3">
      <c r="D41" s="3" t="s">
        <v>73</v>
      </c>
      <c r="E41" s="62"/>
    </row>
    <row r="42" spans="4:9" x14ac:dyDescent="0.3">
      <c r="E42" s="2"/>
      <c r="H42" s="3" t="s">
        <v>139</v>
      </c>
      <c r="I42" s="62">
        <v>505</v>
      </c>
    </row>
    <row r="43" spans="4:9" x14ac:dyDescent="0.3">
      <c r="D43" s="3" t="s">
        <v>56</v>
      </c>
      <c r="E43" s="62">
        <v>204</v>
      </c>
      <c r="H43" s="3" t="s">
        <v>64</v>
      </c>
      <c r="I43" s="62"/>
    </row>
    <row r="44" spans="4:9" x14ac:dyDescent="0.3">
      <c r="D44" s="3" t="s">
        <v>80</v>
      </c>
      <c r="E44" s="62"/>
    </row>
    <row r="45" spans="4:9" x14ac:dyDescent="0.3">
      <c r="D45" s="3" t="s">
        <v>81</v>
      </c>
      <c r="E45" s="62"/>
      <c r="H45" s="3" t="s">
        <v>147</v>
      </c>
      <c r="I45" s="62">
        <v>504</v>
      </c>
    </row>
    <row r="46" spans="4:9" x14ac:dyDescent="0.3">
      <c r="D46" s="3" t="s">
        <v>68</v>
      </c>
      <c r="E46" s="62"/>
      <c r="H46" s="3" t="s">
        <v>148</v>
      </c>
      <c r="I46" s="62"/>
    </row>
    <row r="47" spans="4:9" x14ac:dyDescent="0.3">
      <c r="D47" s="3" t="s">
        <v>82</v>
      </c>
      <c r="E47" s="62"/>
      <c r="H47" s="3" t="s">
        <v>149</v>
      </c>
      <c r="I47" s="62"/>
    </row>
    <row r="49" spans="4:9" x14ac:dyDescent="0.3">
      <c r="D49" s="3" t="s">
        <v>214</v>
      </c>
      <c r="E49" s="62">
        <v>302</v>
      </c>
      <c r="H49" s="3" t="s">
        <v>196</v>
      </c>
      <c r="I49" s="62">
        <v>404</v>
      </c>
    </row>
    <row r="50" spans="4:9" x14ac:dyDescent="0.3">
      <c r="D50" s="3" t="s">
        <v>68</v>
      </c>
      <c r="E50" s="62"/>
      <c r="H50" s="3" t="s">
        <v>197</v>
      </c>
      <c r="I50" s="62"/>
    </row>
    <row r="51" spans="4:9" x14ac:dyDescent="0.3">
      <c r="D51" s="3" t="s">
        <v>212</v>
      </c>
      <c r="E51" s="62"/>
    </row>
    <row r="52" spans="4:9" x14ac:dyDescent="0.3">
      <c r="D52" s="3" t="s">
        <v>213</v>
      </c>
      <c r="E52" s="62"/>
      <c r="H52" s="3" t="s">
        <v>144</v>
      </c>
      <c r="I52" s="62">
        <v>507</v>
      </c>
    </row>
    <row r="53" spans="4:9" x14ac:dyDescent="0.3">
      <c r="D53" s="3" t="s">
        <v>215</v>
      </c>
      <c r="E53" s="62"/>
      <c r="H53" s="3" t="s">
        <v>64</v>
      </c>
      <c r="I53" s="62"/>
    </row>
    <row r="54" spans="4:9" x14ac:dyDescent="0.3">
      <c r="D54" s="3" t="s">
        <v>68</v>
      </c>
      <c r="E54" s="62"/>
    </row>
    <row r="55" spans="4:9" x14ac:dyDescent="0.3">
      <c r="H55" s="3" t="s">
        <v>118</v>
      </c>
      <c r="I55" s="62">
        <v>508</v>
      </c>
    </row>
    <row r="56" spans="4:9" x14ac:dyDescent="0.3">
      <c r="D56" s="3" t="s">
        <v>63</v>
      </c>
      <c r="E56" s="62">
        <v>304</v>
      </c>
      <c r="H56" s="3" t="s">
        <v>119</v>
      </c>
      <c r="I56" s="62"/>
    </row>
    <row r="57" spans="4:9" x14ac:dyDescent="0.3">
      <c r="D57" s="3" t="s">
        <v>64</v>
      </c>
      <c r="E57" s="62"/>
    </row>
    <row r="58" spans="4:9" x14ac:dyDescent="0.3">
      <c r="D58" s="3" t="s">
        <v>62</v>
      </c>
      <c r="E58" s="62"/>
      <c r="H58" s="3" t="s">
        <v>434</v>
      </c>
      <c r="I58" s="62">
        <v>506</v>
      </c>
    </row>
    <row r="59" spans="4:9" x14ac:dyDescent="0.3">
      <c r="D59" s="3" t="s">
        <v>65</v>
      </c>
      <c r="E59" s="62"/>
      <c r="H59" s="3" t="s">
        <v>435</v>
      </c>
      <c r="I59" s="62"/>
    </row>
    <row r="60" spans="4:9" x14ac:dyDescent="0.3">
      <c r="D60" s="3" t="s">
        <v>64</v>
      </c>
      <c r="E60" s="62"/>
    </row>
    <row r="61" spans="4:9" x14ac:dyDescent="0.3">
      <c r="D61" s="3" t="s">
        <v>62</v>
      </c>
      <c r="E61" s="62"/>
      <c r="H61" s="3" t="s">
        <v>55</v>
      </c>
      <c r="I61" s="62">
        <v>402</v>
      </c>
    </row>
    <row r="62" spans="4:9" x14ac:dyDescent="0.3">
      <c r="H62" s="3" t="s">
        <v>714</v>
      </c>
      <c r="I62" s="62"/>
    </row>
    <row r="63" spans="4:9" x14ac:dyDescent="0.3">
      <c r="D63" s="3" t="s">
        <v>89</v>
      </c>
      <c r="E63" s="62">
        <v>104</v>
      </c>
    </row>
    <row r="64" spans="4:9" x14ac:dyDescent="0.3">
      <c r="D64" s="3" t="s">
        <v>68</v>
      </c>
      <c r="E64" s="62"/>
    </row>
    <row r="65" spans="4:5" x14ac:dyDescent="0.3">
      <c r="D65" s="3" t="s">
        <v>90</v>
      </c>
      <c r="E65" s="62"/>
    </row>
    <row r="66" spans="4:5" x14ac:dyDescent="0.3">
      <c r="D66" s="3" t="s">
        <v>68</v>
      </c>
      <c r="E66" s="62"/>
    </row>
    <row r="67" spans="4:5" x14ac:dyDescent="0.3">
      <c r="D67" s="3" t="s">
        <v>309</v>
      </c>
      <c r="E67" s="62"/>
    </row>
    <row r="68" spans="4:5" x14ac:dyDescent="0.3">
      <c r="D68" s="3" t="s">
        <v>88</v>
      </c>
      <c r="E68" s="62"/>
    </row>
    <row r="97" spans="1:2" x14ac:dyDescent="0.3">
      <c r="A97" s="3" t="s">
        <v>214</v>
      </c>
      <c r="B97" s="62" t="s">
        <v>308</v>
      </c>
    </row>
    <row r="98" spans="1:2" x14ac:dyDescent="0.3">
      <c r="A98" s="3" t="s">
        <v>68</v>
      </c>
      <c r="B98" s="62"/>
    </row>
    <row r="99" spans="1:2" x14ac:dyDescent="0.3">
      <c r="A99" s="3" t="s">
        <v>215</v>
      </c>
      <c r="B99" s="62"/>
    </row>
    <row r="100" spans="1:2" x14ac:dyDescent="0.3">
      <c r="A100" s="3" t="s">
        <v>68</v>
      </c>
      <c r="B100" s="62"/>
    </row>
  </sheetData>
  <mergeCells count="59">
    <mergeCell ref="B4:B7"/>
    <mergeCell ref="E4:E8"/>
    <mergeCell ref="E10:E14"/>
    <mergeCell ref="B97:B100"/>
    <mergeCell ref="E37:E41"/>
    <mergeCell ref="E31:E35"/>
    <mergeCell ref="E56:E61"/>
    <mergeCell ref="E43:E47"/>
    <mergeCell ref="E63:E68"/>
    <mergeCell ref="I58:I59"/>
    <mergeCell ref="E16:E18"/>
    <mergeCell ref="E22:E23"/>
    <mergeCell ref="E26:E28"/>
    <mergeCell ref="I13:I19"/>
    <mergeCell ref="I49:I50"/>
    <mergeCell ref="I55:I56"/>
    <mergeCell ref="E49:E54"/>
    <mergeCell ref="I42:I43"/>
    <mergeCell ref="I45:I47"/>
    <mergeCell ref="I52:I53"/>
    <mergeCell ref="I3:I5"/>
    <mergeCell ref="I7:I9"/>
    <mergeCell ref="I22:I24"/>
    <mergeCell ref="I26:I28"/>
    <mergeCell ref="Z2:AG2"/>
    <mergeCell ref="T4:U4"/>
    <mergeCell ref="T13:U13"/>
    <mergeCell ref="V13:W13"/>
    <mergeCell ref="V4:W4"/>
    <mergeCell ref="T2:V2"/>
    <mergeCell ref="AS13:AT13"/>
    <mergeCell ref="AS4:AT4"/>
    <mergeCell ref="AD13:AE13"/>
    <mergeCell ref="AD4:AE4"/>
    <mergeCell ref="I61:I62"/>
    <mergeCell ref="AF4:AG4"/>
    <mergeCell ref="AF13:AG13"/>
    <mergeCell ref="Z4:AA4"/>
    <mergeCell ref="Z13:AA13"/>
    <mergeCell ref="AB4:AC4"/>
    <mergeCell ref="AB13:AC13"/>
    <mergeCell ref="L5:O5"/>
    <mergeCell ref="I30:I32"/>
    <mergeCell ref="I34:I36"/>
    <mergeCell ref="I38:I39"/>
    <mergeCell ref="AQ4:AR4"/>
    <mergeCell ref="AO4:AP4"/>
    <mergeCell ref="AO13:AP13"/>
    <mergeCell ref="AQ13:AR13"/>
    <mergeCell ref="AK4:AL4"/>
    <mergeCell ref="AK13:AL13"/>
    <mergeCell ref="AM13:AN13"/>
    <mergeCell ref="AM4:AN4"/>
    <mergeCell ref="AW4:AX4"/>
    <mergeCell ref="AY4:AZ4"/>
    <mergeCell ref="AW13:AX13"/>
    <mergeCell ref="AY13:AZ13"/>
    <mergeCell ref="AU4:AV4"/>
    <mergeCell ref="AU13:AV1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AA22C-CBB1-4EA8-BB13-338F39B0BD73}">
  <dimension ref="B4:AM81"/>
  <sheetViews>
    <sheetView topLeftCell="A18" zoomScale="40" workbookViewId="0">
      <selection activeCell="AQ38" sqref="AQ38"/>
    </sheetView>
  </sheetViews>
  <sheetFormatPr defaultRowHeight="14.4" x14ac:dyDescent="0.3"/>
  <cols>
    <col min="1" max="16384" width="8.88671875" style="2"/>
  </cols>
  <sheetData>
    <row r="4" spans="2:33" x14ac:dyDescent="0.3">
      <c r="C4" s="2" t="s">
        <v>699</v>
      </c>
      <c r="D4" s="2" t="s">
        <v>700</v>
      </c>
      <c r="E4" s="2" t="s">
        <v>701</v>
      </c>
    </row>
    <row r="5" spans="2:33" ht="15" thickBot="1" x14ac:dyDescent="0.35">
      <c r="B5" s="2" t="s">
        <v>703</v>
      </c>
      <c r="C5" s="2">
        <v>2</v>
      </c>
      <c r="D5" s="2">
        <v>2</v>
      </c>
      <c r="E5" s="2">
        <v>4</v>
      </c>
    </row>
    <row r="6" spans="2:33" ht="18" x14ac:dyDescent="0.3">
      <c r="B6" s="2" t="s">
        <v>704</v>
      </c>
      <c r="C6" s="2">
        <v>4</v>
      </c>
      <c r="D6" s="2">
        <v>4</v>
      </c>
      <c r="E6" s="2">
        <v>8</v>
      </c>
      <c r="O6" s="36"/>
      <c r="P6" s="52">
        <v>206</v>
      </c>
      <c r="Q6" s="38"/>
      <c r="R6" s="38"/>
      <c r="S6" s="54">
        <v>205</v>
      </c>
      <c r="U6" s="36"/>
      <c r="V6" s="52">
        <v>204</v>
      </c>
      <c r="W6" s="38"/>
      <c r="X6" s="38"/>
      <c r="Y6" s="52">
        <v>203</v>
      </c>
      <c r="Z6" s="39"/>
      <c r="AB6" s="36"/>
      <c r="AC6" s="52">
        <v>202</v>
      </c>
      <c r="AD6" s="38"/>
      <c r="AE6" s="38"/>
      <c r="AF6" s="52">
        <v>201</v>
      </c>
      <c r="AG6" s="39"/>
    </row>
    <row r="7" spans="2:33" x14ac:dyDescent="0.3">
      <c r="B7" s="2" t="s">
        <v>702</v>
      </c>
      <c r="C7" s="2">
        <v>8</v>
      </c>
      <c r="D7" s="2">
        <v>8</v>
      </c>
      <c r="E7" s="2">
        <v>16</v>
      </c>
      <c r="O7" s="40"/>
      <c r="P7" s="2" t="s">
        <v>56</v>
      </c>
      <c r="S7" s="41" t="s">
        <v>76</v>
      </c>
      <c r="U7" s="40"/>
      <c r="V7" s="2" t="s">
        <v>214</v>
      </c>
      <c r="Y7" s="2" t="s">
        <v>91</v>
      </c>
      <c r="Z7" s="43"/>
      <c r="AB7" s="40"/>
      <c r="AC7" s="2" t="s">
        <v>89</v>
      </c>
      <c r="AF7" s="2" t="s">
        <v>48</v>
      </c>
      <c r="AG7" s="43"/>
    </row>
    <row r="8" spans="2:33" x14ac:dyDescent="0.3">
      <c r="B8" s="2" t="s">
        <v>705</v>
      </c>
      <c r="C8" s="2">
        <v>5</v>
      </c>
      <c r="D8" s="2">
        <v>0</v>
      </c>
      <c r="E8" s="2">
        <v>5</v>
      </c>
      <c r="O8" s="40"/>
      <c r="P8" s="2" t="s">
        <v>80</v>
      </c>
      <c r="S8" s="41" t="s">
        <v>77</v>
      </c>
      <c r="U8" s="40"/>
      <c r="V8" s="2" t="s">
        <v>68</v>
      </c>
      <c r="Y8" s="2" t="s">
        <v>720</v>
      </c>
      <c r="Z8" s="43"/>
      <c r="AB8" s="40"/>
      <c r="AC8" s="2" t="s">
        <v>68</v>
      </c>
      <c r="AF8" s="2" t="s">
        <v>49</v>
      </c>
      <c r="AG8" s="43"/>
    </row>
    <row r="9" spans="2:33" x14ac:dyDescent="0.3">
      <c r="E9" s="35">
        <v>33</v>
      </c>
      <c r="O9" s="40"/>
      <c r="P9" s="2" t="s">
        <v>81</v>
      </c>
      <c r="S9" s="41" t="s">
        <v>78</v>
      </c>
      <c r="U9" s="40"/>
      <c r="V9" s="2" t="s">
        <v>212</v>
      </c>
      <c r="Z9" s="43"/>
      <c r="AB9" s="40"/>
      <c r="AC9" s="49" t="s">
        <v>90</v>
      </c>
      <c r="AF9" s="2" t="s">
        <v>50</v>
      </c>
      <c r="AG9" s="43"/>
    </row>
    <row r="10" spans="2:33" x14ac:dyDescent="0.3">
      <c r="O10" s="40"/>
      <c r="P10" s="2" t="s">
        <v>68</v>
      </c>
      <c r="S10" s="41" t="s">
        <v>72</v>
      </c>
      <c r="U10" s="40"/>
      <c r="V10" s="2" t="s">
        <v>732</v>
      </c>
      <c r="Y10" s="2" t="s">
        <v>718</v>
      </c>
      <c r="Z10" s="43"/>
      <c r="AB10" s="40"/>
      <c r="AC10" s="49" t="s">
        <v>68</v>
      </c>
      <c r="AF10" s="2" t="s">
        <v>51</v>
      </c>
      <c r="AG10" s="43"/>
    </row>
    <row r="11" spans="2:33" x14ac:dyDescent="0.3">
      <c r="O11" s="40"/>
      <c r="P11" s="2" t="s">
        <v>82</v>
      </c>
      <c r="S11" s="41" t="s">
        <v>73</v>
      </c>
      <c r="U11" s="40"/>
      <c r="V11" s="2" t="s">
        <v>215</v>
      </c>
      <c r="Y11" s="2" t="s">
        <v>39</v>
      </c>
      <c r="Z11" s="43"/>
      <c r="AB11" s="40"/>
      <c r="AC11" s="2" t="s">
        <v>309</v>
      </c>
      <c r="AF11" s="2" t="s">
        <v>52</v>
      </c>
      <c r="AG11" s="43"/>
    </row>
    <row r="12" spans="2:33" x14ac:dyDescent="0.3">
      <c r="B12" s="2" t="s">
        <v>709</v>
      </c>
      <c r="C12" s="2">
        <v>201</v>
      </c>
      <c r="D12" s="2">
        <v>101</v>
      </c>
      <c r="O12" s="40"/>
      <c r="S12" s="41"/>
      <c r="U12" s="40"/>
      <c r="V12" s="2" t="s">
        <v>68</v>
      </c>
      <c r="Y12" s="2" t="s">
        <v>716</v>
      </c>
      <c r="Z12" s="43"/>
      <c r="AB12" s="40"/>
      <c r="AC12" s="2" t="s">
        <v>88</v>
      </c>
      <c r="AF12" s="2" t="s">
        <v>53</v>
      </c>
      <c r="AG12" s="43"/>
    </row>
    <row r="13" spans="2:33" x14ac:dyDescent="0.3">
      <c r="C13" s="2">
        <v>202</v>
      </c>
      <c r="D13" s="2">
        <v>102</v>
      </c>
      <c r="O13" s="40"/>
      <c r="S13" s="43"/>
      <c r="U13" s="40"/>
      <c r="Y13" s="2" t="s">
        <v>719</v>
      </c>
      <c r="Z13" s="43"/>
      <c r="AB13" s="40"/>
      <c r="AF13" s="2" t="s">
        <v>54</v>
      </c>
      <c r="AG13" s="43"/>
    </row>
    <row r="14" spans="2:33" x14ac:dyDescent="0.3">
      <c r="O14" s="40"/>
      <c r="S14" s="43"/>
      <c r="U14" s="40"/>
      <c r="Z14" s="43"/>
      <c r="AB14" s="40"/>
      <c r="AG14" s="43"/>
    </row>
    <row r="15" spans="2:33" x14ac:dyDescent="0.3">
      <c r="B15" s="2" t="s">
        <v>704</v>
      </c>
      <c r="C15" s="2">
        <v>203</v>
      </c>
      <c r="D15" s="2">
        <v>103</v>
      </c>
      <c r="O15" s="40"/>
      <c r="S15" s="43"/>
      <c r="U15" s="40"/>
      <c r="Z15" s="43"/>
      <c r="AB15" s="40"/>
      <c r="AG15" s="43"/>
    </row>
    <row r="16" spans="2:33" x14ac:dyDescent="0.3">
      <c r="C16" s="2">
        <v>204</v>
      </c>
      <c r="D16" s="2">
        <v>104</v>
      </c>
      <c r="O16" s="40"/>
      <c r="S16" s="43"/>
      <c r="U16" s="40"/>
      <c r="Z16" s="43"/>
      <c r="AB16" s="40"/>
      <c r="AG16" s="43"/>
    </row>
    <row r="17" spans="2:33" x14ac:dyDescent="0.3">
      <c r="C17" s="2">
        <v>205</v>
      </c>
      <c r="D17" s="2">
        <v>105</v>
      </c>
      <c r="O17" s="40"/>
      <c r="S17" s="43"/>
      <c r="U17" s="40"/>
      <c r="Z17" s="43"/>
      <c r="AB17" s="40"/>
      <c r="AG17" s="43"/>
    </row>
    <row r="18" spans="2:33" x14ac:dyDescent="0.3">
      <c r="C18" s="2">
        <v>206</v>
      </c>
      <c r="D18" s="2">
        <v>106</v>
      </c>
      <c r="O18" s="40"/>
      <c r="S18" s="43"/>
      <c r="U18" s="40"/>
      <c r="Z18" s="43"/>
      <c r="AB18" s="40"/>
      <c r="AG18" s="43"/>
    </row>
    <row r="19" spans="2:33" ht="18" x14ac:dyDescent="0.3">
      <c r="O19" s="40"/>
      <c r="P19" s="51">
        <v>106</v>
      </c>
      <c r="S19" s="53">
        <v>105</v>
      </c>
      <c r="U19" s="40"/>
      <c r="V19" s="44">
        <v>104</v>
      </c>
      <c r="Y19" s="51">
        <v>103</v>
      </c>
      <c r="Z19" s="43"/>
      <c r="AB19" s="40"/>
      <c r="AC19" s="51">
        <v>102</v>
      </c>
      <c r="AF19" s="51">
        <v>101</v>
      </c>
      <c r="AG19" s="43"/>
    </row>
    <row r="20" spans="2:33" x14ac:dyDescent="0.3">
      <c r="B20" s="2" t="s">
        <v>710</v>
      </c>
      <c r="C20" s="2">
        <v>207</v>
      </c>
      <c r="D20" s="2">
        <v>107</v>
      </c>
      <c r="O20" s="40"/>
      <c r="P20" s="2" t="s">
        <v>63</v>
      </c>
      <c r="S20" s="41" t="s">
        <v>70</v>
      </c>
      <c r="U20" s="40"/>
      <c r="V20" s="2" t="s">
        <v>434</v>
      </c>
      <c r="Y20" s="2" t="s">
        <v>13</v>
      </c>
      <c r="Z20" s="43"/>
      <c r="AB20" s="40"/>
      <c r="AC20" s="2" t="s">
        <v>8</v>
      </c>
      <c r="AF20" s="2" t="s">
        <v>301</v>
      </c>
      <c r="AG20" s="43"/>
    </row>
    <row r="21" spans="2:33" x14ac:dyDescent="0.3">
      <c r="C21" s="2">
        <v>208</v>
      </c>
      <c r="D21" s="2">
        <v>108</v>
      </c>
      <c r="O21" s="40"/>
      <c r="P21" s="2" t="s">
        <v>64</v>
      </c>
      <c r="S21" s="41" t="s">
        <v>71</v>
      </c>
      <c r="U21" s="40"/>
      <c r="V21" s="2" t="s">
        <v>435</v>
      </c>
      <c r="Y21" s="2" t="s">
        <v>14</v>
      </c>
      <c r="Z21" s="43"/>
      <c r="AB21" s="40"/>
      <c r="AC21" s="2" t="s">
        <v>7</v>
      </c>
      <c r="AF21" s="2" t="s">
        <v>302</v>
      </c>
      <c r="AG21" s="43"/>
    </row>
    <row r="22" spans="2:33" x14ac:dyDescent="0.3">
      <c r="C22" s="2">
        <v>209</v>
      </c>
      <c r="D22" s="2">
        <v>109</v>
      </c>
      <c r="O22" s="40"/>
      <c r="P22" s="2" t="s">
        <v>62</v>
      </c>
      <c r="S22" s="41" t="s">
        <v>312</v>
      </c>
      <c r="U22" s="40"/>
      <c r="V22" s="2" t="s">
        <v>139</v>
      </c>
      <c r="Y22" s="2" t="s">
        <v>17</v>
      </c>
      <c r="Z22" s="43"/>
      <c r="AB22" s="40"/>
      <c r="AC22" s="2" t="s">
        <v>9</v>
      </c>
      <c r="AF22" s="2" t="s">
        <v>303</v>
      </c>
      <c r="AG22" s="43"/>
    </row>
    <row r="23" spans="2:33" x14ac:dyDescent="0.3">
      <c r="C23" s="2">
        <v>210</v>
      </c>
      <c r="D23" s="2">
        <v>110</v>
      </c>
      <c r="O23" s="40"/>
      <c r="P23" s="2" t="s">
        <v>65</v>
      </c>
      <c r="S23" s="41" t="s">
        <v>74</v>
      </c>
      <c r="U23" s="40"/>
      <c r="V23" s="2" t="s">
        <v>64</v>
      </c>
      <c r="Y23" s="2" t="s">
        <v>16</v>
      </c>
      <c r="Z23" s="43"/>
      <c r="AB23" s="40"/>
      <c r="AC23" s="2" t="s">
        <v>10</v>
      </c>
      <c r="AF23" s="2" t="s">
        <v>154</v>
      </c>
      <c r="AG23" s="43"/>
    </row>
    <row r="24" spans="2:33" x14ac:dyDescent="0.3">
      <c r="C24" s="2" t="s">
        <v>728</v>
      </c>
      <c r="D24" s="2" t="s">
        <v>724</v>
      </c>
      <c r="O24" s="40"/>
      <c r="P24" s="2" t="s">
        <v>64</v>
      </c>
      <c r="S24" s="41" t="s">
        <v>79</v>
      </c>
      <c r="U24" s="40"/>
      <c r="Y24" s="2" t="s">
        <v>15</v>
      </c>
      <c r="Z24" s="43"/>
      <c r="AB24" s="40"/>
      <c r="AC24" s="2" t="s">
        <v>11</v>
      </c>
      <c r="AG24" s="43"/>
    </row>
    <row r="25" spans="2:33" ht="15" thickBot="1" x14ac:dyDescent="0.35">
      <c r="C25" s="2" t="s">
        <v>729</v>
      </c>
      <c r="D25" s="2" t="s">
        <v>725</v>
      </c>
      <c r="O25" s="45"/>
      <c r="P25" s="55" t="s">
        <v>62</v>
      </c>
      <c r="Q25" s="47"/>
      <c r="R25" s="47"/>
      <c r="S25" s="42" t="s">
        <v>83</v>
      </c>
      <c r="U25" s="45"/>
      <c r="V25" s="46"/>
      <c r="W25" s="47"/>
      <c r="X25" s="47"/>
      <c r="Y25" s="47" t="s">
        <v>478</v>
      </c>
      <c r="Z25" s="48"/>
      <c r="AB25" s="45"/>
      <c r="AC25" s="47"/>
      <c r="AD25" s="47"/>
      <c r="AE25" s="47"/>
      <c r="AF25" s="47"/>
      <c r="AG25" s="48"/>
    </row>
    <row r="26" spans="2:33" x14ac:dyDescent="0.3">
      <c r="C26" s="2" t="s">
        <v>730</v>
      </c>
      <c r="D26" s="2" t="s">
        <v>726</v>
      </c>
      <c r="P26" s="2" t="s">
        <v>60</v>
      </c>
      <c r="S26" s="56" t="s">
        <v>84</v>
      </c>
    </row>
    <row r="27" spans="2:33" x14ac:dyDescent="0.3">
      <c r="C27" s="2" t="s">
        <v>731</v>
      </c>
      <c r="D27" s="2" t="s">
        <v>727</v>
      </c>
      <c r="P27" s="2" t="s">
        <v>61</v>
      </c>
      <c r="S27" s="2" t="s">
        <v>85</v>
      </c>
    </row>
    <row r="28" spans="2:33" x14ac:dyDescent="0.3">
      <c r="P28" s="2" t="s">
        <v>62</v>
      </c>
    </row>
    <row r="30" spans="2:33" x14ac:dyDescent="0.3">
      <c r="AC30" s="2" t="s">
        <v>772</v>
      </c>
    </row>
    <row r="31" spans="2:33" ht="15" thickBot="1" x14ac:dyDescent="0.35">
      <c r="AC31" s="2" t="s">
        <v>771</v>
      </c>
    </row>
    <row r="32" spans="2:33" ht="18" x14ac:dyDescent="0.3">
      <c r="H32" s="36"/>
      <c r="I32" s="52">
        <v>210</v>
      </c>
      <c r="J32" s="38"/>
      <c r="K32" s="38"/>
      <c r="L32" s="52">
        <v>209</v>
      </c>
      <c r="M32" s="39"/>
      <c r="O32" s="36"/>
      <c r="P32" s="52">
        <v>208</v>
      </c>
      <c r="Q32" s="38"/>
      <c r="R32" s="38"/>
      <c r="S32" s="52">
        <v>207</v>
      </c>
      <c r="T32" s="39"/>
      <c r="Y32" s="2" t="s">
        <v>760</v>
      </c>
      <c r="AC32" s="2" t="s">
        <v>766</v>
      </c>
      <c r="AD32" s="2" t="s">
        <v>767</v>
      </c>
      <c r="AE32" s="2" t="s">
        <v>768</v>
      </c>
    </row>
    <row r="33" spans="8:39" x14ac:dyDescent="0.3">
      <c r="H33" s="40"/>
      <c r="I33" s="2" t="s">
        <v>113</v>
      </c>
      <c r="L33" s="2" t="s">
        <v>147</v>
      </c>
      <c r="M33" s="43"/>
      <c r="O33" s="40"/>
      <c r="P33" s="2" t="s">
        <v>196</v>
      </c>
      <c r="S33" s="2" t="s">
        <v>773</v>
      </c>
      <c r="T33" s="43"/>
      <c r="X33" s="35"/>
      <c r="Y33" s="2" t="s">
        <v>761</v>
      </c>
      <c r="Z33" s="35"/>
      <c r="AA33" s="35"/>
      <c r="AB33" s="35"/>
      <c r="AC33" s="35" t="s">
        <v>769</v>
      </c>
      <c r="AD33" s="35" t="s">
        <v>770</v>
      </c>
      <c r="AE33" s="35"/>
      <c r="AF33" s="35"/>
      <c r="AG33" s="35"/>
      <c r="AH33" s="35"/>
      <c r="AI33" s="35"/>
      <c r="AJ33" s="35"/>
      <c r="AK33" s="35"/>
      <c r="AL33" s="35"/>
      <c r="AM33" s="35"/>
    </row>
    <row r="34" spans="8:39" x14ac:dyDescent="0.3">
      <c r="H34" s="40"/>
      <c r="I34" s="2" t="s">
        <v>114</v>
      </c>
      <c r="L34" s="2" t="s">
        <v>148</v>
      </c>
      <c r="M34" s="43"/>
      <c r="O34" s="40"/>
      <c r="P34" s="2" t="s">
        <v>197</v>
      </c>
      <c r="S34" s="2" t="s">
        <v>774</v>
      </c>
      <c r="T34" s="43"/>
      <c r="Y34" s="2" t="s">
        <v>762</v>
      </c>
    </row>
    <row r="35" spans="8:39" x14ac:dyDescent="0.3">
      <c r="H35" s="40"/>
      <c r="L35" s="2" t="s">
        <v>149</v>
      </c>
      <c r="M35" s="43"/>
      <c r="O35" s="40"/>
      <c r="S35" s="2" t="s">
        <v>775</v>
      </c>
      <c r="T35" s="43"/>
      <c r="Y35" s="2" t="s">
        <v>763</v>
      </c>
    </row>
    <row r="36" spans="8:39" x14ac:dyDescent="0.3">
      <c r="H36" s="40"/>
      <c r="M36" s="43"/>
      <c r="O36" s="40"/>
      <c r="T36" s="43"/>
      <c r="Y36" s="2" t="s">
        <v>764</v>
      </c>
      <c r="Z36" s="2" t="s">
        <v>765</v>
      </c>
    </row>
    <row r="37" spans="8:39" x14ac:dyDescent="0.3">
      <c r="H37" s="40"/>
      <c r="M37" s="43"/>
      <c r="O37" s="40"/>
      <c r="T37" s="43"/>
    </row>
    <row r="38" spans="8:39" x14ac:dyDescent="0.3">
      <c r="H38" s="40"/>
      <c r="M38" s="43"/>
      <c r="O38" s="40"/>
      <c r="T38" s="43"/>
    </row>
    <row r="39" spans="8:39" x14ac:dyDescent="0.3">
      <c r="H39" s="40"/>
      <c r="M39" s="43"/>
      <c r="O39" s="40"/>
      <c r="T39" s="43"/>
      <c r="AC39" s="35" t="s">
        <v>780</v>
      </c>
    </row>
    <row r="40" spans="8:39" x14ac:dyDescent="0.3">
      <c r="H40" s="40"/>
      <c r="M40" s="43"/>
      <c r="O40" s="40"/>
      <c r="T40" s="43"/>
      <c r="AC40" s="35">
        <v>111</v>
      </c>
      <c r="AD40" s="57">
        <v>210000</v>
      </c>
    </row>
    <row r="41" spans="8:39" x14ac:dyDescent="0.3">
      <c r="H41" s="40"/>
      <c r="M41" s="43"/>
      <c r="O41" s="40"/>
      <c r="T41" s="43"/>
    </row>
    <row r="42" spans="8:39" x14ac:dyDescent="0.3">
      <c r="H42" s="40"/>
      <c r="M42" s="43"/>
      <c r="O42" s="40"/>
      <c r="T42" s="43"/>
      <c r="X42" s="35"/>
      <c r="Y42" s="35"/>
      <c r="Z42" s="35"/>
      <c r="AA42" s="35"/>
      <c r="AB42" s="35"/>
      <c r="AC42" s="35"/>
      <c r="AD42" s="35"/>
      <c r="AE42" s="35"/>
      <c r="AF42" s="35"/>
      <c r="AG42" s="35"/>
      <c r="AH42" s="35"/>
      <c r="AI42" s="35"/>
      <c r="AJ42" s="35"/>
      <c r="AK42" s="35"/>
      <c r="AL42" s="35"/>
      <c r="AM42" s="35"/>
    </row>
    <row r="43" spans="8:39" x14ac:dyDescent="0.3">
      <c r="H43" s="40"/>
      <c r="M43" s="43"/>
      <c r="O43" s="40"/>
      <c r="T43" s="43"/>
    </row>
    <row r="44" spans="8:39" ht="18" x14ac:dyDescent="0.3">
      <c r="H44" s="40"/>
      <c r="I44" s="51">
        <v>110</v>
      </c>
      <c r="L44" s="51">
        <v>109</v>
      </c>
      <c r="M44" s="43"/>
      <c r="O44" s="40"/>
      <c r="P44" s="51">
        <v>108</v>
      </c>
      <c r="S44" s="51">
        <v>107</v>
      </c>
      <c r="T44" s="43"/>
    </row>
    <row r="45" spans="8:39" x14ac:dyDescent="0.3">
      <c r="H45" s="40"/>
      <c r="I45" s="2" t="s">
        <v>129</v>
      </c>
      <c r="L45" s="2" t="s">
        <v>135</v>
      </c>
      <c r="M45" s="43"/>
      <c r="O45" s="40"/>
      <c r="P45" s="2" t="s">
        <v>110</v>
      </c>
      <c r="S45" s="2" t="s">
        <v>116</v>
      </c>
      <c r="T45" s="43"/>
    </row>
    <row r="46" spans="8:39" x14ac:dyDescent="0.3">
      <c r="H46" s="40"/>
      <c r="I46" s="2" t="s">
        <v>130</v>
      </c>
      <c r="L46" s="2" t="s">
        <v>68</v>
      </c>
      <c r="M46" s="43"/>
      <c r="O46" s="40"/>
      <c r="P46" s="2" t="s">
        <v>708</v>
      </c>
      <c r="S46" s="2" t="s">
        <v>307</v>
      </c>
      <c r="T46" s="43"/>
    </row>
    <row r="47" spans="8:39" x14ac:dyDescent="0.3">
      <c r="H47" s="40"/>
      <c r="M47" s="43"/>
      <c r="O47" s="40"/>
      <c r="P47" s="50" t="s">
        <v>118</v>
      </c>
      <c r="S47" s="2" t="s">
        <v>117</v>
      </c>
      <c r="T47" s="43"/>
    </row>
    <row r="48" spans="8:39" x14ac:dyDescent="0.3">
      <c r="H48" s="40"/>
      <c r="M48" s="43"/>
      <c r="O48" s="40"/>
      <c r="S48" s="49"/>
      <c r="T48" s="43"/>
    </row>
    <row r="49" spans="8:20" x14ac:dyDescent="0.3">
      <c r="H49" s="40"/>
      <c r="M49" s="43"/>
      <c r="O49" s="40"/>
      <c r="S49" s="49"/>
      <c r="T49" s="43"/>
    </row>
    <row r="50" spans="8:20" x14ac:dyDescent="0.3">
      <c r="H50" s="40"/>
      <c r="M50" s="43"/>
      <c r="O50" s="40"/>
      <c r="T50" s="43"/>
    </row>
    <row r="51" spans="8:20" x14ac:dyDescent="0.3">
      <c r="H51" s="40"/>
      <c r="M51" s="43"/>
      <c r="O51" s="40"/>
      <c r="T51" s="43"/>
    </row>
    <row r="52" spans="8:20" ht="15" thickBot="1" x14ac:dyDescent="0.35">
      <c r="H52" s="45"/>
      <c r="I52" s="47"/>
      <c r="J52" s="47"/>
      <c r="K52" s="47"/>
      <c r="L52" s="47"/>
      <c r="M52" s="48"/>
      <c r="O52" s="45"/>
      <c r="P52" s="47"/>
      <c r="Q52" s="47"/>
      <c r="R52" s="47"/>
      <c r="S52" s="47"/>
      <c r="T52" s="48"/>
    </row>
    <row r="58" spans="8:20" ht="23.4" x14ac:dyDescent="0.3">
      <c r="K58" s="69" t="s">
        <v>733</v>
      </c>
      <c r="L58" s="69"/>
      <c r="M58" s="69"/>
      <c r="N58" s="69"/>
      <c r="O58" s="69"/>
      <c r="P58" s="69"/>
    </row>
    <row r="60" spans="8:20" ht="15" thickBot="1" x14ac:dyDescent="0.35"/>
    <row r="61" spans="8:20" ht="18" x14ac:dyDescent="0.3">
      <c r="H61" s="36"/>
      <c r="I61" s="52" t="s">
        <v>731</v>
      </c>
      <c r="J61" s="38"/>
      <c r="K61" s="38"/>
      <c r="L61" s="52" t="s">
        <v>730</v>
      </c>
      <c r="M61" s="39"/>
      <c r="O61" s="36"/>
      <c r="P61" s="37" t="s">
        <v>729</v>
      </c>
      <c r="Q61" s="38"/>
      <c r="R61" s="38"/>
      <c r="S61" s="37" t="s">
        <v>728</v>
      </c>
      <c r="T61" s="39"/>
    </row>
    <row r="62" spans="8:20" x14ac:dyDescent="0.3">
      <c r="H62" s="40"/>
      <c r="I62" s="2" t="s">
        <v>769</v>
      </c>
      <c r="L62" s="2" t="s">
        <v>43</v>
      </c>
      <c r="M62" s="43"/>
      <c r="O62" s="40"/>
      <c r="P62" s="2" t="s">
        <v>37</v>
      </c>
      <c r="S62" s="2" t="s">
        <v>144</v>
      </c>
      <c r="T62" s="43"/>
    </row>
    <row r="63" spans="8:20" x14ac:dyDescent="0.3">
      <c r="H63" s="40"/>
      <c r="I63" s="2" t="s">
        <v>770</v>
      </c>
      <c r="L63" s="2" t="s">
        <v>44</v>
      </c>
      <c r="M63" s="43"/>
      <c r="O63" s="40"/>
      <c r="P63" s="2" t="s">
        <v>39</v>
      </c>
      <c r="S63" s="2" t="s">
        <v>64</v>
      </c>
      <c r="T63" s="43"/>
    </row>
    <row r="64" spans="8:20" x14ac:dyDescent="0.3">
      <c r="H64" s="40"/>
      <c r="L64" s="49" t="s">
        <v>38</v>
      </c>
      <c r="M64" s="43"/>
      <c r="O64" s="40"/>
      <c r="P64" s="2" t="s">
        <v>40</v>
      </c>
      <c r="T64" s="43"/>
    </row>
    <row r="65" spans="8:20" x14ac:dyDescent="0.3">
      <c r="H65" s="40"/>
      <c r="M65" s="43"/>
      <c r="O65" s="40"/>
      <c r="T65" s="43"/>
    </row>
    <row r="66" spans="8:20" x14ac:dyDescent="0.3">
      <c r="H66" s="40"/>
      <c r="M66" s="43"/>
      <c r="O66" s="40"/>
      <c r="T66" s="43"/>
    </row>
    <row r="67" spans="8:20" x14ac:dyDescent="0.3">
      <c r="H67" s="40"/>
      <c r="M67" s="43"/>
      <c r="O67" s="40"/>
      <c r="T67" s="43"/>
    </row>
    <row r="68" spans="8:20" x14ac:dyDescent="0.3">
      <c r="H68" s="40"/>
      <c r="M68" s="43"/>
      <c r="O68" s="40"/>
      <c r="T68" s="43"/>
    </row>
    <row r="69" spans="8:20" x14ac:dyDescent="0.3">
      <c r="H69" s="40"/>
      <c r="M69" s="43"/>
      <c r="O69" s="40"/>
      <c r="T69" s="43"/>
    </row>
    <row r="70" spans="8:20" x14ac:dyDescent="0.3">
      <c r="H70" s="40"/>
      <c r="M70" s="43"/>
      <c r="O70" s="40"/>
      <c r="T70" s="43"/>
    </row>
    <row r="71" spans="8:20" x14ac:dyDescent="0.3">
      <c r="H71" s="40"/>
      <c r="M71" s="43"/>
      <c r="O71" s="40"/>
      <c r="T71" s="43"/>
    </row>
    <row r="72" spans="8:20" x14ac:dyDescent="0.3">
      <c r="H72" s="40"/>
      <c r="M72" s="43"/>
      <c r="O72" s="40"/>
      <c r="T72" s="43"/>
    </row>
    <row r="73" spans="8:20" ht="18" x14ac:dyDescent="0.3">
      <c r="H73" s="40"/>
      <c r="I73" s="51" t="s">
        <v>727</v>
      </c>
      <c r="L73" s="51" t="s">
        <v>726</v>
      </c>
      <c r="M73" s="43"/>
      <c r="O73" s="40"/>
      <c r="P73" s="51" t="s">
        <v>725</v>
      </c>
      <c r="S73" s="51" t="s">
        <v>724</v>
      </c>
      <c r="T73" s="43"/>
    </row>
    <row r="74" spans="8:20" x14ac:dyDescent="0.3">
      <c r="H74" s="40"/>
      <c r="I74" s="2" t="s">
        <v>771</v>
      </c>
      <c r="L74" s="2" t="s">
        <v>766</v>
      </c>
      <c r="M74" s="43"/>
      <c r="O74" s="40"/>
      <c r="P74" s="2" t="s">
        <v>304</v>
      </c>
      <c r="S74" s="2" t="s">
        <v>55</v>
      </c>
      <c r="T74" s="43"/>
    </row>
    <row r="75" spans="8:20" x14ac:dyDescent="0.3">
      <c r="H75" s="40"/>
      <c r="I75" s="2" t="s">
        <v>776</v>
      </c>
      <c r="L75" s="2" t="s">
        <v>778</v>
      </c>
      <c r="M75" s="43"/>
      <c r="O75" s="40"/>
      <c r="P75" s="2" t="s">
        <v>68</v>
      </c>
      <c r="S75" s="2" t="s">
        <v>714</v>
      </c>
      <c r="T75" s="43"/>
    </row>
    <row r="76" spans="8:20" x14ac:dyDescent="0.3">
      <c r="H76" s="40"/>
      <c r="I76" s="2" t="s">
        <v>777</v>
      </c>
      <c r="L76" s="2" t="s">
        <v>779</v>
      </c>
      <c r="M76" s="43"/>
      <c r="O76" s="40"/>
      <c r="P76" s="2" t="s">
        <v>62</v>
      </c>
      <c r="T76" s="43"/>
    </row>
    <row r="77" spans="8:20" x14ac:dyDescent="0.3">
      <c r="H77" s="40"/>
      <c r="I77" s="2" t="s">
        <v>777</v>
      </c>
      <c r="M77" s="43"/>
      <c r="O77" s="40"/>
      <c r="T77" s="43"/>
    </row>
    <row r="78" spans="8:20" x14ac:dyDescent="0.3">
      <c r="H78" s="40"/>
      <c r="M78" s="43"/>
      <c r="O78" s="40"/>
      <c r="T78" s="43"/>
    </row>
    <row r="79" spans="8:20" x14ac:dyDescent="0.3">
      <c r="H79" s="40"/>
      <c r="M79" s="43"/>
      <c r="O79" s="40"/>
      <c r="T79" s="43"/>
    </row>
    <row r="80" spans="8:20" x14ac:dyDescent="0.3">
      <c r="H80" s="40"/>
      <c r="M80" s="43"/>
      <c r="O80" s="40"/>
      <c r="T80" s="43"/>
    </row>
    <row r="81" spans="8:20" ht="15" thickBot="1" x14ac:dyDescent="0.35">
      <c r="H81" s="45"/>
      <c r="I81" s="47"/>
      <c r="J81" s="47"/>
      <c r="K81" s="47"/>
      <c r="L81" s="47"/>
      <c r="M81" s="48"/>
      <c r="O81" s="45"/>
      <c r="P81" s="47"/>
      <c r="Q81" s="47"/>
      <c r="R81" s="47"/>
      <c r="S81" s="47"/>
      <c r="T81" s="48"/>
    </row>
  </sheetData>
  <mergeCells count="1">
    <mergeCell ref="K58:P58"/>
  </mergeCells>
  <phoneticPr fontId="13"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8F8CE-88D5-4677-8B14-AA8635F30D97}">
  <dimension ref="A1:O58"/>
  <sheetViews>
    <sheetView topLeftCell="A47" zoomScale="151" workbookViewId="0">
      <selection activeCell="I58" sqref="I58"/>
    </sheetView>
  </sheetViews>
  <sheetFormatPr defaultRowHeight="14.4" x14ac:dyDescent="0.3"/>
  <cols>
    <col min="1" max="1" width="10.33203125" bestFit="1" customWidth="1"/>
  </cols>
  <sheetData>
    <row r="1" spans="1:9" ht="23.4" x14ac:dyDescent="0.45">
      <c r="A1" s="1" t="s">
        <v>313</v>
      </c>
    </row>
    <row r="3" spans="1:9" x14ac:dyDescent="0.3">
      <c r="A3" s="8">
        <v>46010</v>
      </c>
      <c r="B3" s="6" t="s">
        <v>314</v>
      </c>
      <c r="D3" s="6" t="s">
        <v>327</v>
      </c>
      <c r="F3" s="6" t="s">
        <v>329</v>
      </c>
    </row>
    <row r="4" spans="1:9" x14ac:dyDescent="0.3">
      <c r="A4" t="s">
        <v>315</v>
      </c>
      <c r="B4" t="s">
        <v>303</v>
      </c>
      <c r="D4" t="s">
        <v>321</v>
      </c>
      <c r="F4" t="s">
        <v>330</v>
      </c>
    </row>
    <row r="5" spans="1:9" x14ac:dyDescent="0.3">
      <c r="B5" t="s">
        <v>297</v>
      </c>
      <c r="D5" t="s">
        <v>322</v>
      </c>
      <c r="F5" t="s">
        <v>331</v>
      </c>
    </row>
    <row r="6" spans="1:9" x14ac:dyDescent="0.3">
      <c r="B6" t="s">
        <v>316</v>
      </c>
      <c r="D6" t="s">
        <v>323</v>
      </c>
    </row>
    <row r="7" spans="1:9" x14ac:dyDescent="0.3">
      <c r="B7" t="s">
        <v>478</v>
      </c>
      <c r="D7" t="s">
        <v>324</v>
      </c>
    </row>
    <row r="8" spans="1:9" x14ac:dyDescent="0.3">
      <c r="B8" t="s">
        <v>317</v>
      </c>
      <c r="D8" t="s">
        <v>325</v>
      </c>
    </row>
    <row r="9" spans="1:9" x14ac:dyDescent="0.3">
      <c r="B9" t="s">
        <v>721</v>
      </c>
      <c r="D9" t="s">
        <v>326</v>
      </c>
    </row>
    <row r="13" spans="1:9" x14ac:dyDescent="0.3">
      <c r="G13" s="19"/>
    </row>
    <row r="14" spans="1:9" x14ac:dyDescent="0.3">
      <c r="A14" t="s">
        <v>319</v>
      </c>
      <c r="B14" t="s">
        <v>302</v>
      </c>
      <c r="D14" t="s">
        <v>328</v>
      </c>
      <c r="F14">
        <v>23</v>
      </c>
      <c r="G14" s="19">
        <v>0.3125</v>
      </c>
      <c r="H14" t="s">
        <v>332</v>
      </c>
      <c r="I14">
        <v>4</v>
      </c>
    </row>
    <row r="15" spans="1:9" x14ac:dyDescent="0.3">
      <c r="B15" t="s">
        <v>303</v>
      </c>
      <c r="H15" t="s">
        <v>6</v>
      </c>
      <c r="I15">
        <v>5</v>
      </c>
    </row>
    <row r="16" spans="1:9" x14ac:dyDescent="0.3">
      <c r="B16" t="s">
        <v>297</v>
      </c>
      <c r="H16" t="s">
        <v>109</v>
      </c>
      <c r="I16">
        <v>2</v>
      </c>
    </row>
    <row r="17" spans="1:9" x14ac:dyDescent="0.3">
      <c r="B17" t="s">
        <v>316</v>
      </c>
      <c r="H17" t="s">
        <v>333</v>
      </c>
      <c r="I17">
        <v>6</v>
      </c>
    </row>
    <row r="18" spans="1:9" x14ac:dyDescent="0.3">
      <c r="B18" t="s">
        <v>114</v>
      </c>
      <c r="H18" t="s">
        <v>334</v>
      </c>
      <c r="I18">
        <v>7</v>
      </c>
    </row>
    <row r="19" spans="1:9" x14ac:dyDescent="0.3">
      <c r="B19" t="s">
        <v>317</v>
      </c>
      <c r="I19">
        <f>SUM(I14:I18)</f>
        <v>24</v>
      </c>
    </row>
    <row r="20" spans="1:9" x14ac:dyDescent="0.3">
      <c r="B20" t="s">
        <v>318</v>
      </c>
    </row>
    <row r="21" spans="1:9" x14ac:dyDescent="0.3">
      <c r="B21" t="s">
        <v>478</v>
      </c>
    </row>
    <row r="29" spans="1:9" x14ac:dyDescent="0.3">
      <c r="A29" t="s">
        <v>365</v>
      </c>
      <c r="C29" t="s">
        <v>366</v>
      </c>
      <c r="D29" t="s">
        <v>367</v>
      </c>
      <c r="E29" t="s">
        <v>368</v>
      </c>
      <c r="F29" t="s">
        <v>369</v>
      </c>
      <c r="G29" s="19">
        <v>0.375</v>
      </c>
    </row>
    <row r="30" spans="1:9" x14ac:dyDescent="0.3">
      <c r="A30" t="s">
        <v>479</v>
      </c>
      <c r="B30" t="s">
        <v>480</v>
      </c>
      <c r="C30" t="s">
        <v>481</v>
      </c>
      <c r="G30" s="19"/>
    </row>
    <row r="32" spans="1:9" x14ac:dyDescent="0.3">
      <c r="A32" s="8">
        <v>46011</v>
      </c>
      <c r="B32" s="6" t="s">
        <v>335</v>
      </c>
    </row>
    <row r="33" spans="1:15" x14ac:dyDescent="0.3">
      <c r="A33" t="s">
        <v>336</v>
      </c>
      <c r="B33" t="s">
        <v>337</v>
      </c>
      <c r="C33" t="s">
        <v>487</v>
      </c>
      <c r="D33" t="s">
        <v>356</v>
      </c>
    </row>
    <row r="34" spans="1:15" x14ac:dyDescent="0.3">
      <c r="A34" t="s">
        <v>352</v>
      </c>
      <c r="B34" s="9">
        <v>0.25</v>
      </c>
      <c r="C34" t="s">
        <v>457</v>
      </c>
    </row>
    <row r="35" spans="1:15" x14ac:dyDescent="0.3">
      <c r="A35" t="s">
        <v>338</v>
      </c>
      <c r="B35" s="9" t="s">
        <v>482</v>
      </c>
      <c r="C35" t="s">
        <v>456</v>
      </c>
      <c r="G35" t="s">
        <v>473</v>
      </c>
      <c r="H35" t="s">
        <v>483</v>
      </c>
      <c r="I35" t="s">
        <v>484</v>
      </c>
      <c r="J35" t="s">
        <v>485</v>
      </c>
      <c r="K35" t="s">
        <v>486</v>
      </c>
      <c r="L35">
        <v>80</v>
      </c>
      <c r="N35" t="s">
        <v>489</v>
      </c>
      <c r="O35" t="s">
        <v>488</v>
      </c>
    </row>
    <row r="36" spans="1:15" x14ac:dyDescent="0.3">
      <c r="A36" t="s">
        <v>339</v>
      </c>
      <c r="B36">
        <v>10</v>
      </c>
      <c r="C36" t="s">
        <v>455</v>
      </c>
      <c r="D36" t="s">
        <v>357</v>
      </c>
    </row>
    <row r="37" spans="1:15" x14ac:dyDescent="0.3">
      <c r="A37" t="s">
        <v>453</v>
      </c>
      <c r="B37" s="9">
        <v>0.45833333333333331</v>
      </c>
      <c r="C37" t="s">
        <v>447</v>
      </c>
      <c r="D37" t="s">
        <v>490</v>
      </c>
      <c r="I37" t="s">
        <v>491</v>
      </c>
    </row>
    <row r="38" spans="1:15" x14ac:dyDescent="0.3">
      <c r="A38" t="s">
        <v>341</v>
      </c>
      <c r="B38" s="9" t="s">
        <v>492</v>
      </c>
      <c r="C38" t="s">
        <v>450</v>
      </c>
      <c r="D38" t="s">
        <v>493</v>
      </c>
    </row>
    <row r="39" spans="1:15" x14ac:dyDescent="0.3">
      <c r="A39" t="s">
        <v>342</v>
      </c>
      <c r="B39" s="9">
        <v>0.125</v>
      </c>
      <c r="C39" t="s">
        <v>449</v>
      </c>
    </row>
    <row r="40" spans="1:15" x14ac:dyDescent="0.3">
      <c r="A40" t="s">
        <v>343</v>
      </c>
      <c r="B40" s="9">
        <v>0.13541666666666666</v>
      </c>
      <c r="C40" t="s">
        <v>449</v>
      </c>
      <c r="D40" t="s">
        <v>358</v>
      </c>
    </row>
    <row r="41" spans="1:15" x14ac:dyDescent="0.3">
      <c r="A41" t="s">
        <v>344</v>
      </c>
      <c r="B41" s="9">
        <v>0.16666666666666666</v>
      </c>
      <c r="C41" t="s">
        <v>449</v>
      </c>
      <c r="D41" t="s">
        <v>359</v>
      </c>
    </row>
    <row r="42" spans="1:15" x14ac:dyDescent="0.3">
      <c r="A42" t="s">
        <v>345</v>
      </c>
      <c r="B42" s="9">
        <v>0.25</v>
      </c>
      <c r="C42" t="s">
        <v>446</v>
      </c>
      <c r="D42" t="s">
        <v>360</v>
      </c>
    </row>
    <row r="43" spans="1:15" x14ac:dyDescent="0.3">
      <c r="A43" t="s">
        <v>346</v>
      </c>
      <c r="B43" s="9">
        <v>0.875</v>
      </c>
      <c r="C43" t="s">
        <v>450</v>
      </c>
    </row>
    <row r="44" spans="1:15" x14ac:dyDescent="0.3">
      <c r="A44" t="s">
        <v>347</v>
      </c>
      <c r="B44" s="9">
        <v>0.91666666666666663</v>
      </c>
      <c r="C44" t="s">
        <v>447</v>
      </c>
      <c r="D44" t="s">
        <v>361</v>
      </c>
    </row>
    <row r="47" spans="1:15" x14ac:dyDescent="0.3">
      <c r="A47" s="8">
        <v>46012</v>
      </c>
      <c r="B47" s="6" t="s">
        <v>335</v>
      </c>
      <c r="C47" s="6"/>
    </row>
    <row r="48" spans="1:15" x14ac:dyDescent="0.3">
      <c r="A48" t="s">
        <v>336</v>
      </c>
      <c r="B48" t="s">
        <v>337</v>
      </c>
    </row>
    <row r="49" spans="1:4" x14ac:dyDescent="0.3">
      <c r="A49" t="s">
        <v>348</v>
      </c>
      <c r="B49" s="9" t="s">
        <v>494</v>
      </c>
      <c r="C49" t="s">
        <v>722</v>
      </c>
    </row>
    <row r="50" spans="1:4" x14ac:dyDescent="0.3">
      <c r="A50" t="s">
        <v>349</v>
      </c>
      <c r="B50" s="9">
        <v>0.375</v>
      </c>
      <c r="C50" t="s">
        <v>447</v>
      </c>
      <c r="D50" t="s">
        <v>349</v>
      </c>
    </row>
    <row r="51" spans="1:4" x14ac:dyDescent="0.3">
      <c r="A51" t="s">
        <v>350</v>
      </c>
      <c r="B51" s="9">
        <v>0.41666666666666669</v>
      </c>
      <c r="C51" t="s">
        <v>447</v>
      </c>
    </row>
    <row r="52" spans="1:4" x14ac:dyDescent="0.3">
      <c r="A52" t="s">
        <v>495</v>
      </c>
      <c r="B52" s="9">
        <v>0.4375</v>
      </c>
      <c r="C52" t="s">
        <v>449</v>
      </c>
      <c r="D52" t="s">
        <v>362</v>
      </c>
    </row>
    <row r="53" spans="1:4" x14ac:dyDescent="0.3">
      <c r="A53" t="s">
        <v>351</v>
      </c>
      <c r="B53" s="9">
        <v>0.46875</v>
      </c>
      <c r="C53" t="s">
        <v>449</v>
      </c>
      <c r="D53" t="s">
        <v>363</v>
      </c>
    </row>
    <row r="54" spans="1:4" x14ac:dyDescent="0.3">
      <c r="A54" t="s">
        <v>341</v>
      </c>
      <c r="B54" t="s">
        <v>340</v>
      </c>
      <c r="C54" t="s">
        <v>450</v>
      </c>
    </row>
    <row r="55" spans="1:4" x14ac:dyDescent="0.3">
      <c r="A55" t="s">
        <v>352</v>
      </c>
      <c r="B55" s="9" t="s">
        <v>723</v>
      </c>
    </row>
    <row r="56" spans="1:4" x14ac:dyDescent="0.3">
      <c r="A56" t="s">
        <v>353</v>
      </c>
      <c r="B56" s="9">
        <v>0.66666666666666663</v>
      </c>
      <c r="D56" t="s">
        <v>364</v>
      </c>
    </row>
    <row r="57" spans="1:4" x14ac:dyDescent="0.3">
      <c r="A57" t="s">
        <v>346</v>
      </c>
      <c r="B57" s="9">
        <v>0.85416666666666663</v>
      </c>
    </row>
    <row r="58" spans="1:4" x14ac:dyDescent="0.3">
      <c r="A58" t="s">
        <v>354</v>
      </c>
      <c r="B58" s="9">
        <v>0.875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C5CA7-82F2-42E1-94DE-6316C61FA7B6}">
  <sheetPr>
    <pageSetUpPr fitToPage="1"/>
  </sheetPr>
  <dimension ref="A2:F140"/>
  <sheetViews>
    <sheetView tabSelected="1" topLeftCell="A123" zoomScale="109" workbookViewId="0">
      <selection activeCell="B133" sqref="B133"/>
    </sheetView>
  </sheetViews>
  <sheetFormatPr defaultRowHeight="14.4" x14ac:dyDescent="0.3"/>
  <cols>
    <col min="1" max="1" width="24.33203125" customWidth="1"/>
    <col min="2" max="2" width="32.77734375" customWidth="1"/>
    <col min="3" max="3" width="68.33203125" customWidth="1"/>
  </cols>
  <sheetData>
    <row r="2" spans="1:5" ht="30" customHeight="1" x14ac:dyDescent="0.6">
      <c r="A2" s="70" t="s">
        <v>500</v>
      </c>
      <c r="B2" s="70"/>
      <c r="C2" s="70"/>
      <c r="D2" t="s">
        <v>840</v>
      </c>
      <c r="E2" t="s">
        <v>841</v>
      </c>
    </row>
    <row r="3" spans="1:5" ht="10.8" customHeight="1" x14ac:dyDescent="0.3">
      <c r="A3" s="23" t="s">
        <v>688</v>
      </c>
      <c r="B3" s="23" t="s">
        <v>689</v>
      </c>
      <c r="C3" s="23" t="s">
        <v>690</v>
      </c>
    </row>
    <row r="4" spans="1:5" ht="49.2" customHeight="1" x14ac:dyDescent="0.3">
      <c r="A4" s="24" t="s">
        <v>594</v>
      </c>
      <c r="B4" s="23" t="s">
        <v>593</v>
      </c>
      <c r="C4" s="25" t="s">
        <v>595</v>
      </c>
    </row>
    <row r="5" spans="1:5" ht="30" customHeight="1" x14ac:dyDescent="0.3">
      <c r="A5" s="26" t="s">
        <v>5</v>
      </c>
      <c r="B5" s="23" t="s">
        <v>684</v>
      </c>
      <c r="C5" s="23" t="s">
        <v>685</v>
      </c>
    </row>
    <row r="6" spans="1:5" ht="30" customHeight="1" x14ac:dyDescent="0.3">
      <c r="A6" s="26" t="s">
        <v>4</v>
      </c>
      <c r="B6" s="23" t="s">
        <v>686</v>
      </c>
      <c r="C6" s="23" t="s">
        <v>687</v>
      </c>
    </row>
    <row r="7" spans="1:5" ht="30" customHeight="1" x14ac:dyDescent="0.3">
      <c r="A7" s="26" t="s">
        <v>502</v>
      </c>
      <c r="B7" s="27" t="s">
        <v>503</v>
      </c>
      <c r="C7" s="27" t="s">
        <v>504</v>
      </c>
    </row>
    <row r="8" spans="1:5" ht="30" customHeight="1" x14ac:dyDescent="0.3">
      <c r="A8" s="26" t="s">
        <v>512</v>
      </c>
      <c r="B8" s="27" t="s">
        <v>597</v>
      </c>
      <c r="C8" s="27" t="s">
        <v>513</v>
      </c>
    </row>
    <row r="9" spans="1:5" ht="30" customHeight="1" x14ac:dyDescent="0.3">
      <c r="A9" s="26" t="s">
        <v>517</v>
      </c>
      <c r="B9" s="27" t="s">
        <v>518</v>
      </c>
      <c r="C9" s="27" t="s">
        <v>519</v>
      </c>
    </row>
    <row r="10" spans="1:5" ht="30" customHeight="1" x14ac:dyDescent="0.3">
      <c r="A10" s="26" t="s">
        <v>505</v>
      </c>
      <c r="B10" s="27" t="s">
        <v>543</v>
      </c>
      <c r="C10" s="27" t="s">
        <v>544</v>
      </c>
    </row>
    <row r="11" spans="1:5" ht="30" customHeight="1" x14ac:dyDescent="0.3">
      <c r="A11" s="26" t="s">
        <v>506</v>
      </c>
      <c r="B11" s="27" t="s">
        <v>599</v>
      </c>
      <c r="C11" s="27" t="s">
        <v>600</v>
      </c>
    </row>
    <row r="12" spans="1:5" ht="30" customHeight="1" x14ac:dyDescent="0.3">
      <c r="A12" s="26" t="s">
        <v>596</v>
      </c>
      <c r="B12" s="28" t="s">
        <v>601</v>
      </c>
      <c r="C12" s="28" t="s">
        <v>602</v>
      </c>
    </row>
    <row r="13" spans="1:5" ht="30" customHeight="1" x14ac:dyDescent="0.3">
      <c r="A13" s="26" t="s">
        <v>514</v>
      </c>
      <c r="B13" s="27" t="s">
        <v>515</v>
      </c>
      <c r="C13" s="27" t="s">
        <v>516</v>
      </c>
    </row>
    <row r="14" spans="1:5" ht="30" customHeight="1" x14ac:dyDescent="0.3">
      <c r="A14" s="26" t="s">
        <v>509</v>
      </c>
      <c r="B14" s="27" t="s">
        <v>529</v>
      </c>
      <c r="C14" s="27" t="s">
        <v>530</v>
      </c>
    </row>
    <row r="15" spans="1:5" ht="30" customHeight="1" x14ac:dyDescent="0.3">
      <c r="A15" s="26" t="s">
        <v>394</v>
      </c>
      <c r="B15" s="27" t="s">
        <v>603</v>
      </c>
      <c r="C15" s="28" t="s">
        <v>604</v>
      </c>
    </row>
    <row r="16" spans="1:5" ht="30" customHeight="1" x14ac:dyDescent="0.3">
      <c r="A16" s="21" t="s">
        <v>802</v>
      </c>
      <c r="B16" s="27" t="s">
        <v>520</v>
      </c>
      <c r="C16" s="27" t="s">
        <v>521</v>
      </c>
    </row>
    <row r="17" spans="1:5" ht="30" customHeight="1" x14ac:dyDescent="0.3">
      <c r="A17" s="26" t="s">
        <v>598</v>
      </c>
      <c r="B17" s="27" t="s">
        <v>510</v>
      </c>
      <c r="C17" s="27" t="s">
        <v>511</v>
      </c>
    </row>
    <row r="18" spans="1:5" ht="30" customHeight="1" x14ac:dyDescent="0.3">
      <c r="A18" s="26" t="s">
        <v>539</v>
      </c>
      <c r="B18" s="27" t="s">
        <v>540</v>
      </c>
      <c r="C18" s="27" t="s">
        <v>541</v>
      </c>
    </row>
    <row r="19" spans="1:5" ht="30" customHeight="1" x14ac:dyDescent="0.3">
      <c r="A19" s="26" t="s">
        <v>542</v>
      </c>
      <c r="B19" s="27" t="s">
        <v>605</v>
      </c>
      <c r="C19" s="28" t="s">
        <v>606</v>
      </c>
    </row>
    <row r="20" spans="1:5" ht="30" customHeight="1" x14ac:dyDescent="0.3">
      <c r="A20" s="26" t="s">
        <v>787</v>
      </c>
      <c r="B20" s="27" t="s">
        <v>556</v>
      </c>
      <c r="C20" s="27" t="s">
        <v>557</v>
      </c>
    </row>
    <row r="21" spans="1:5" ht="30" customHeight="1" x14ac:dyDescent="0.3">
      <c r="A21" s="26" t="s">
        <v>558</v>
      </c>
      <c r="B21" s="27" t="s">
        <v>559</v>
      </c>
      <c r="C21" s="27" t="s">
        <v>607</v>
      </c>
    </row>
    <row r="22" spans="1:5" ht="30" customHeight="1" x14ac:dyDescent="0.3">
      <c r="A22" s="26" t="s">
        <v>560</v>
      </c>
      <c r="B22" s="27" t="s">
        <v>561</v>
      </c>
      <c r="C22" s="27" t="s">
        <v>562</v>
      </c>
    </row>
    <row r="23" spans="1:5" ht="30" customHeight="1" x14ac:dyDescent="0.3">
      <c r="A23" s="26" t="s">
        <v>563</v>
      </c>
      <c r="B23" s="27" t="s">
        <v>564</v>
      </c>
      <c r="C23" s="27" t="s">
        <v>565</v>
      </c>
    </row>
    <row r="24" spans="1:5" ht="30" customHeight="1" x14ac:dyDescent="0.3">
      <c r="A24" s="26" t="s">
        <v>522</v>
      </c>
      <c r="B24" s="27" t="s">
        <v>523</v>
      </c>
      <c r="C24" s="27" t="s">
        <v>524</v>
      </c>
    </row>
    <row r="25" spans="1:5" ht="30" customHeight="1" x14ac:dyDescent="0.3">
      <c r="A25" s="26" t="s">
        <v>528</v>
      </c>
      <c r="B25" s="27" t="s">
        <v>507</v>
      </c>
      <c r="C25" s="27" t="s">
        <v>508</v>
      </c>
      <c r="E25" s="32"/>
    </row>
    <row r="26" spans="1:5" ht="30" customHeight="1" x14ac:dyDescent="0.3">
      <c r="A26" s="26" t="s">
        <v>525</v>
      </c>
      <c r="B26" s="27" t="s">
        <v>526</v>
      </c>
      <c r="C26" s="27" t="s">
        <v>527</v>
      </c>
    </row>
    <row r="27" spans="1:5" ht="30" customHeight="1" x14ac:dyDescent="0.3">
      <c r="A27" s="26" t="s">
        <v>531</v>
      </c>
      <c r="B27" s="27" t="s">
        <v>532</v>
      </c>
      <c r="C27" s="27" t="s">
        <v>533</v>
      </c>
    </row>
    <row r="28" spans="1:5" ht="30" customHeight="1" x14ac:dyDescent="0.3">
      <c r="A28" s="26" t="s">
        <v>537</v>
      </c>
      <c r="B28" s="27" t="s">
        <v>501</v>
      </c>
      <c r="C28" s="27" t="s">
        <v>538</v>
      </c>
    </row>
    <row r="29" spans="1:5" ht="30" customHeight="1" x14ac:dyDescent="0.3">
      <c r="A29" s="26" t="s">
        <v>534</v>
      </c>
      <c r="B29" s="27" t="s">
        <v>545</v>
      </c>
      <c r="C29" s="27" t="s">
        <v>546</v>
      </c>
    </row>
    <row r="30" spans="1:5" ht="30" customHeight="1" x14ac:dyDescent="0.3">
      <c r="A30" s="26" t="s">
        <v>608</v>
      </c>
      <c r="B30" s="27" t="s">
        <v>535</v>
      </c>
      <c r="C30" s="27" t="s">
        <v>536</v>
      </c>
      <c r="E30">
        <v>1</v>
      </c>
    </row>
    <row r="31" spans="1:5" ht="30" customHeight="1" x14ac:dyDescent="0.3">
      <c r="A31" s="26" t="s">
        <v>547</v>
      </c>
      <c r="B31" s="27" t="s">
        <v>548</v>
      </c>
      <c r="C31" s="27" t="s">
        <v>549</v>
      </c>
      <c r="E31">
        <v>1</v>
      </c>
    </row>
    <row r="32" spans="1:5" ht="30" customHeight="1" x14ac:dyDescent="0.3">
      <c r="A32" s="26" t="s">
        <v>550</v>
      </c>
      <c r="B32" s="27" t="s">
        <v>551</v>
      </c>
      <c r="C32" s="27" t="s">
        <v>552</v>
      </c>
      <c r="E32">
        <v>1</v>
      </c>
    </row>
    <row r="33" spans="1:6" ht="30" customHeight="1" x14ac:dyDescent="0.3">
      <c r="A33" s="26" t="s">
        <v>553</v>
      </c>
      <c r="B33" s="27" t="s">
        <v>554</v>
      </c>
      <c r="C33" s="27" t="s">
        <v>555</v>
      </c>
      <c r="E33">
        <v>1</v>
      </c>
    </row>
    <row r="34" spans="1:6" ht="30" customHeight="1" x14ac:dyDescent="0.3">
      <c r="A34" s="26" t="s">
        <v>566</v>
      </c>
      <c r="B34" s="27" t="s">
        <v>567</v>
      </c>
      <c r="C34" s="27" t="s">
        <v>568</v>
      </c>
      <c r="E34">
        <v>1</v>
      </c>
    </row>
    <row r="35" spans="1:6" ht="30" customHeight="1" x14ac:dyDescent="0.3">
      <c r="A35" s="26" t="s">
        <v>569</v>
      </c>
      <c r="B35" s="27" t="s">
        <v>570</v>
      </c>
      <c r="C35" s="27" t="s">
        <v>571</v>
      </c>
      <c r="E35">
        <v>1</v>
      </c>
    </row>
    <row r="36" spans="1:6" ht="30" customHeight="1" x14ac:dyDescent="0.3">
      <c r="A36" s="26" t="s">
        <v>572</v>
      </c>
      <c r="B36" s="27" t="s">
        <v>573</v>
      </c>
      <c r="C36" s="27" t="s">
        <v>574</v>
      </c>
      <c r="E36">
        <v>1</v>
      </c>
    </row>
    <row r="37" spans="1:6" ht="30" customHeight="1" x14ac:dyDescent="0.3">
      <c r="A37" s="26" t="s">
        <v>575</v>
      </c>
      <c r="B37" s="27" t="s">
        <v>576</v>
      </c>
      <c r="C37" s="27" t="s">
        <v>577</v>
      </c>
      <c r="E37" s="32">
        <v>1</v>
      </c>
      <c r="F37" s="32"/>
    </row>
    <row r="38" spans="1:6" ht="30" customHeight="1" x14ac:dyDescent="0.3">
      <c r="A38" s="26" t="s">
        <v>578</v>
      </c>
      <c r="B38" s="27" t="s">
        <v>579</v>
      </c>
      <c r="C38" s="27" t="s">
        <v>580</v>
      </c>
      <c r="D38">
        <v>1</v>
      </c>
      <c r="E38">
        <v>1</v>
      </c>
    </row>
    <row r="39" spans="1:6" ht="30" customHeight="1" x14ac:dyDescent="0.3">
      <c r="A39" s="26" t="s">
        <v>581</v>
      </c>
      <c r="B39" s="27" t="s">
        <v>582</v>
      </c>
      <c r="C39" s="27" t="s">
        <v>583</v>
      </c>
      <c r="E39">
        <v>1</v>
      </c>
    </row>
    <row r="40" spans="1:6" ht="30" customHeight="1" x14ac:dyDescent="0.3">
      <c r="A40" s="26" t="s">
        <v>584</v>
      </c>
      <c r="B40" s="27" t="s">
        <v>585</v>
      </c>
      <c r="C40" s="27" t="s">
        <v>586</v>
      </c>
      <c r="E40">
        <v>1</v>
      </c>
    </row>
    <row r="41" spans="1:6" ht="25.05" customHeight="1" x14ac:dyDescent="0.3">
      <c r="A41" s="26" t="s">
        <v>587</v>
      </c>
      <c r="B41" s="27" t="s">
        <v>588</v>
      </c>
      <c r="C41" s="27" t="s">
        <v>589</v>
      </c>
      <c r="E41">
        <v>1</v>
      </c>
    </row>
    <row r="42" spans="1:6" ht="25.05" customHeight="1" x14ac:dyDescent="0.3">
      <c r="A42" s="26" t="s">
        <v>590</v>
      </c>
      <c r="B42" s="27" t="s">
        <v>591</v>
      </c>
      <c r="C42" s="27" t="s">
        <v>592</v>
      </c>
      <c r="E42">
        <v>1</v>
      </c>
    </row>
    <row r="43" spans="1:6" ht="25.05" customHeight="1" x14ac:dyDescent="0.3">
      <c r="A43" s="58" t="s">
        <v>788</v>
      </c>
      <c r="B43" t="s">
        <v>794</v>
      </c>
      <c r="C43" t="s">
        <v>795</v>
      </c>
    </row>
    <row r="44" spans="1:6" ht="25.05" customHeight="1" x14ac:dyDescent="0.3">
      <c r="A44" s="58" t="s">
        <v>789</v>
      </c>
      <c r="B44" t="s">
        <v>792</v>
      </c>
      <c r="C44" t="s">
        <v>797</v>
      </c>
      <c r="E44">
        <v>1</v>
      </c>
    </row>
    <row r="45" spans="1:6" ht="25.05" customHeight="1" x14ac:dyDescent="0.3">
      <c r="A45" s="58" t="s">
        <v>799</v>
      </c>
      <c r="B45" t="s">
        <v>793</v>
      </c>
      <c r="C45" t="s">
        <v>796</v>
      </c>
      <c r="E45">
        <v>1</v>
      </c>
    </row>
    <row r="46" spans="1:6" ht="25.05" customHeight="1" x14ac:dyDescent="0.3">
      <c r="A46" s="58" t="s">
        <v>790</v>
      </c>
      <c r="B46" t="s">
        <v>791</v>
      </c>
      <c r="C46" t="s">
        <v>798</v>
      </c>
      <c r="E46">
        <v>1</v>
      </c>
    </row>
    <row r="47" spans="1:6" ht="25.05" customHeight="1" x14ac:dyDescent="0.3">
      <c r="A47" s="21" t="s">
        <v>800</v>
      </c>
      <c r="B47" t="s">
        <v>806</v>
      </c>
      <c r="C47" t="s">
        <v>807</v>
      </c>
      <c r="E47">
        <v>1</v>
      </c>
    </row>
    <row r="48" spans="1:6" ht="25.05" customHeight="1" x14ac:dyDescent="0.3">
      <c r="A48" s="21" t="s">
        <v>801</v>
      </c>
      <c r="B48" t="s">
        <v>805</v>
      </c>
      <c r="C48" t="s">
        <v>808</v>
      </c>
    </row>
    <row r="49" spans="1:5" ht="25.05" customHeight="1" x14ac:dyDescent="0.3">
      <c r="A49" s="21" t="s">
        <v>803</v>
      </c>
      <c r="B49" t="s">
        <v>804</v>
      </c>
      <c r="C49" t="s">
        <v>809</v>
      </c>
      <c r="E49">
        <v>1</v>
      </c>
    </row>
    <row r="50" spans="1:5" ht="25.05" customHeight="1" x14ac:dyDescent="0.3"/>
    <row r="51" spans="1:5" ht="25.05" customHeight="1" x14ac:dyDescent="0.3"/>
    <row r="52" spans="1:5" ht="25.05" customHeight="1" x14ac:dyDescent="0.3"/>
    <row r="53" spans="1:5" ht="25.05" customHeight="1" x14ac:dyDescent="0.3">
      <c r="A53" s="22"/>
      <c r="B53" s="22"/>
      <c r="C53" s="22"/>
    </row>
    <row r="54" spans="1:5" ht="25.05" customHeight="1" x14ac:dyDescent="0.3">
      <c r="A54" s="27" t="s">
        <v>616</v>
      </c>
      <c r="B54" s="27" t="s">
        <v>617</v>
      </c>
      <c r="C54" s="27" t="s">
        <v>618</v>
      </c>
    </row>
    <row r="55" spans="1:5" ht="25.05" customHeight="1" x14ac:dyDescent="0.3">
      <c r="A55" s="27" t="s">
        <v>306</v>
      </c>
      <c r="B55" s="27" t="s">
        <v>622</v>
      </c>
      <c r="C55" s="27" t="s">
        <v>623</v>
      </c>
    </row>
    <row r="56" spans="1:5" ht="25.05" customHeight="1" x14ac:dyDescent="0.3">
      <c r="A56" s="27" t="s">
        <v>619</v>
      </c>
      <c r="B56" s="27" t="s">
        <v>620</v>
      </c>
      <c r="C56" s="27" t="s">
        <v>621</v>
      </c>
    </row>
    <row r="57" spans="1:5" ht="25.05" customHeight="1" x14ac:dyDescent="0.3">
      <c r="A57" s="27" t="s">
        <v>648</v>
      </c>
      <c r="B57" s="27" t="s">
        <v>649</v>
      </c>
      <c r="C57" s="27" t="s">
        <v>650</v>
      </c>
    </row>
    <row r="58" spans="1:5" ht="25.05" customHeight="1" x14ac:dyDescent="0.3">
      <c r="A58" s="27" t="s">
        <v>654</v>
      </c>
      <c r="B58" s="27" t="s">
        <v>655</v>
      </c>
      <c r="C58" s="27" t="s">
        <v>656</v>
      </c>
    </row>
    <row r="59" spans="1:5" ht="25.05" customHeight="1" x14ac:dyDescent="0.3">
      <c r="A59" s="27" t="s">
        <v>651</v>
      </c>
      <c r="B59" s="27" t="s">
        <v>652</v>
      </c>
      <c r="C59" s="27" t="s">
        <v>653</v>
      </c>
    </row>
    <row r="60" spans="1:5" ht="25.05" customHeight="1" x14ac:dyDescent="0.3">
      <c r="A60" s="59" t="s">
        <v>667</v>
      </c>
      <c r="B60" s="27" t="s">
        <v>668</v>
      </c>
      <c r="C60" s="27" t="s">
        <v>669</v>
      </c>
    </row>
    <row r="61" spans="1:5" ht="25.05" customHeight="1" x14ac:dyDescent="0.3">
      <c r="A61" s="59" t="s">
        <v>664</v>
      </c>
      <c r="B61" s="27" t="s">
        <v>665</v>
      </c>
      <c r="C61" s="27" t="s">
        <v>666</v>
      </c>
    </row>
    <row r="62" spans="1:5" ht="25.05" customHeight="1" x14ac:dyDescent="0.3">
      <c r="A62" s="27" t="s">
        <v>758</v>
      </c>
      <c r="B62" s="27" t="s">
        <v>657</v>
      </c>
      <c r="C62" s="27" t="s">
        <v>658</v>
      </c>
    </row>
    <row r="63" spans="1:5" ht="25.05" customHeight="1" x14ac:dyDescent="0.3">
      <c r="A63" s="27" t="s">
        <v>757</v>
      </c>
      <c r="B63" s="27" t="s">
        <v>659</v>
      </c>
      <c r="C63" s="27" t="s">
        <v>660</v>
      </c>
    </row>
    <row r="64" spans="1:5" ht="25.05" customHeight="1" x14ac:dyDescent="0.3">
      <c r="A64" s="27" t="s">
        <v>661</v>
      </c>
      <c r="B64" s="27" t="s">
        <v>662</v>
      </c>
      <c r="C64" s="27" t="s">
        <v>663</v>
      </c>
    </row>
    <row r="65" spans="1:6" ht="25.05" customHeight="1" x14ac:dyDescent="0.3">
      <c r="A65" s="27" t="s">
        <v>670</v>
      </c>
      <c r="B65" s="27" t="s">
        <v>671</v>
      </c>
      <c r="C65" s="27" t="s">
        <v>672</v>
      </c>
    </row>
    <row r="66" spans="1:6" ht="25.05" customHeight="1" x14ac:dyDescent="0.3">
      <c r="A66" s="27" t="s">
        <v>816</v>
      </c>
      <c r="B66" s="27" t="s">
        <v>673</v>
      </c>
      <c r="C66" s="27" t="s">
        <v>683</v>
      </c>
    </row>
    <row r="67" spans="1:6" ht="25.05" customHeight="1" x14ac:dyDescent="0.3">
      <c r="A67" s="59" t="s">
        <v>759</v>
      </c>
      <c r="B67" s="27" t="s">
        <v>674</v>
      </c>
      <c r="C67" s="27" t="s">
        <v>675</v>
      </c>
    </row>
    <row r="68" spans="1:6" ht="25.05" customHeight="1" x14ac:dyDescent="0.3">
      <c r="A68" s="27" t="s">
        <v>627</v>
      </c>
      <c r="B68" s="27" t="s">
        <v>628</v>
      </c>
      <c r="C68" s="27" t="s">
        <v>629</v>
      </c>
      <c r="E68" s="32"/>
    </row>
    <row r="69" spans="1:6" ht="25.05" customHeight="1" x14ac:dyDescent="0.3">
      <c r="A69" s="27" t="s">
        <v>624</v>
      </c>
      <c r="B69" s="27" t="s">
        <v>625</v>
      </c>
      <c r="C69" s="27" t="s">
        <v>626</v>
      </c>
    </row>
    <row r="70" spans="1:6" ht="25.05" customHeight="1" x14ac:dyDescent="0.3">
      <c r="A70" s="27" t="s">
        <v>642</v>
      </c>
      <c r="B70" s="27" t="s">
        <v>643</v>
      </c>
      <c r="C70" s="27" t="s">
        <v>644</v>
      </c>
    </row>
    <row r="71" spans="1:6" ht="25.05" customHeight="1" x14ac:dyDescent="0.3">
      <c r="A71" s="59" t="s">
        <v>645</v>
      </c>
      <c r="B71" s="27" t="s">
        <v>646</v>
      </c>
      <c r="C71" s="27" t="s">
        <v>647</v>
      </c>
    </row>
    <row r="72" spans="1:6" ht="25.05" customHeight="1" x14ac:dyDescent="0.3">
      <c r="A72" s="27" t="s">
        <v>636</v>
      </c>
      <c r="B72" s="27" t="s">
        <v>637</v>
      </c>
      <c r="C72" s="27" t="s">
        <v>638</v>
      </c>
    </row>
    <row r="73" spans="1:6" ht="25.05" customHeight="1" x14ac:dyDescent="0.3">
      <c r="A73" s="27" t="s">
        <v>639</v>
      </c>
      <c r="B73" s="27" t="s">
        <v>640</v>
      </c>
      <c r="C73" s="27" t="s">
        <v>641</v>
      </c>
    </row>
    <row r="74" spans="1:6" ht="25.05" customHeight="1" x14ac:dyDescent="0.3">
      <c r="A74" s="27" t="s">
        <v>630</v>
      </c>
      <c r="B74" s="27" t="s">
        <v>631</v>
      </c>
      <c r="C74" s="27" t="s">
        <v>632</v>
      </c>
    </row>
    <row r="75" spans="1:6" ht="25.05" customHeight="1" x14ac:dyDescent="0.3">
      <c r="A75" s="27" t="s">
        <v>633</v>
      </c>
      <c r="B75" s="27" t="s">
        <v>634</v>
      </c>
      <c r="C75" s="27" t="s">
        <v>635</v>
      </c>
      <c r="E75" s="32"/>
      <c r="F75" s="32"/>
    </row>
    <row r="76" spans="1:6" ht="25.05" customHeight="1" x14ac:dyDescent="0.3">
      <c r="A76" s="27" t="s">
        <v>676</v>
      </c>
      <c r="B76" s="27" t="s">
        <v>677</v>
      </c>
      <c r="C76" s="27" t="s">
        <v>678</v>
      </c>
    </row>
    <row r="77" spans="1:6" ht="25.05" customHeight="1" x14ac:dyDescent="0.3">
      <c r="A77" s="27" t="s">
        <v>679</v>
      </c>
      <c r="B77" s="27" t="s">
        <v>680</v>
      </c>
      <c r="C77" s="27" t="s">
        <v>681</v>
      </c>
    </row>
    <row r="78" spans="1:6" ht="25.05" customHeight="1" x14ac:dyDescent="0.3">
      <c r="A78" s="27" t="s">
        <v>682</v>
      </c>
      <c r="B78" s="27" t="s">
        <v>614</v>
      </c>
      <c r="C78" s="27" t="s">
        <v>615</v>
      </c>
    </row>
    <row r="79" spans="1:6" ht="25.05" customHeight="1" x14ac:dyDescent="0.3">
      <c r="A79" s="27" t="s">
        <v>812</v>
      </c>
      <c r="B79" s="60" t="s">
        <v>824</v>
      </c>
      <c r="C79" s="60" t="s">
        <v>846</v>
      </c>
    </row>
    <row r="80" spans="1:6" ht="25.05" customHeight="1" x14ac:dyDescent="0.3">
      <c r="A80" s="27" t="s">
        <v>813</v>
      </c>
      <c r="B80" s="60" t="s">
        <v>825</v>
      </c>
      <c r="C80" s="60" t="s">
        <v>847</v>
      </c>
    </row>
    <row r="81" spans="1:3" ht="25.05" customHeight="1" x14ac:dyDescent="0.3">
      <c r="A81" s="60" t="s">
        <v>203</v>
      </c>
      <c r="B81" s="61" t="s">
        <v>819</v>
      </c>
      <c r="C81" s="60" t="s">
        <v>848</v>
      </c>
    </row>
    <row r="82" spans="1:3" ht="25.05" customHeight="1" x14ac:dyDescent="0.3">
      <c r="A82" s="60" t="s">
        <v>783</v>
      </c>
      <c r="B82" s="61" t="s">
        <v>826</v>
      </c>
      <c r="C82" t="s">
        <v>845</v>
      </c>
    </row>
    <row r="83" spans="1:3" ht="25.05" customHeight="1" x14ac:dyDescent="0.3">
      <c r="A83" t="s">
        <v>785</v>
      </c>
      <c r="B83" t="s">
        <v>821</v>
      </c>
      <c r="C83" t="s">
        <v>843</v>
      </c>
    </row>
    <row r="84" spans="1:3" ht="25.05" customHeight="1" x14ac:dyDescent="0.3">
      <c r="A84" t="s">
        <v>784</v>
      </c>
      <c r="B84" t="s">
        <v>820</v>
      </c>
      <c r="C84" t="s">
        <v>844</v>
      </c>
    </row>
    <row r="85" spans="1:3" ht="25.05" customHeight="1" x14ac:dyDescent="0.3">
      <c r="A85" s="20" t="s">
        <v>817</v>
      </c>
      <c r="B85" t="s">
        <v>822</v>
      </c>
      <c r="C85" t="s">
        <v>849</v>
      </c>
    </row>
    <row r="86" spans="1:3" ht="25.05" customHeight="1" x14ac:dyDescent="0.3">
      <c r="A86" s="20" t="s">
        <v>842</v>
      </c>
      <c r="B86" t="s">
        <v>823</v>
      </c>
      <c r="C86" t="s">
        <v>850</v>
      </c>
    </row>
    <row r="87" spans="1:3" ht="25.05" customHeight="1" x14ac:dyDescent="0.3">
      <c r="A87" s="20" t="s">
        <v>818</v>
      </c>
      <c r="B87" t="s">
        <v>827</v>
      </c>
      <c r="C87" t="s">
        <v>851</v>
      </c>
    </row>
    <row r="88" spans="1:3" x14ac:dyDescent="0.3">
      <c r="A88" s="20"/>
    </row>
    <row r="89" spans="1:3" x14ac:dyDescent="0.3">
      <c r="A89" s="20"/>
    </row>
    <row r="91" spans="1:3" x14ac:dyDescent="0.3">
      <c r="A91" t="s">
        <v>697</v>
      </c>
      <c r="B91" t="s">
        <v>695</v>
      </c>
    </row>
    <row r="92" spans="1:3" x14ac:dyDescent="0.3">
      <c r="A92" t="s">
        <v>694</v>
      </c>
      <c r="B92" t="s">
        <v>696</v>
      </c>
    </row>
    <row r="93" spans="1:3" x14ac:dyDescent="0.3">
      <c r="A93" t="s">
        <v>693</v>
      </c>
      <c r="B93">
        <v>23</v>
      </c>
    </row>
    <row r="94" spans="1:3" x14ac:dyDescent="0.3">
      <c r="A94" t="s">
        <v>692</v>
      </c>
      <c r="B94">
        <f>36*2</f>
        <v>72</v>
      </c>
    </row>
    <row r="95" spans="1:3" x14ac:dyDescent="0.3">
      <c r="A95" t="s">
        <v>691</v>
      </c>
      <c r="B95">
        <f>SUM(B93:B94)</f>
        <v>95</v>
      </c>
    </row>
    <row r="111" spans="1:3" x14ac:dyDescent="0.3">
      <c r="A111" s="26" t="s">
        <v>584</v>
      </c>
      <c r="B111" t="s">
        <v>862</v>
      </c>
      <c r="C111" s="72" t="s">
        <v>876</v>
      </c>
    </row>
    <row r="112" spans="1:3" x14ac:dyDescent="0.3">
      <c r="C112" s="72"/>
    </row>
    <row r="114" spans="1:3" x14ac:dyDescent="0.3">
      <c r="A114" s="21"/>
    </row>
    <row r="115" spans="1:3" x14ac:dyDescent="0.3">
      <c r="A115" s="26" t="s">
        <v>581</v>
      </c>
      <c r="B115" t="s">
        <v>860</v>
      </c>
      <c r="C115" t="s">
        <v>878</v>
      </c>
    </row>
    <row r="116" spans="1:3" x14ac:dyDescent="0.3">
      <c r="A116" s="26" t="s">
        <v>569</v>
      </c>
      <c r="B116" t="s">
        <v>855</v>
      </c>
      <c r="C116" t="s">
        <v>877</v>
      </c>
    </row>
    <row r="117" spans="1:3" x14ac:dyDescent="0.3">
      <c r="A117" s="26" t="s">
        <v>572</v>
      </c>
      <c r="B117" t="s">
        <v>868</v>
      </c>
      <c r="C117" t="s">
        <v>872</v>
      </c>
    </row>
    <row r="118" spans="1:3" x14ac:dyDescent="0.3">
      <c r="A118" s="26" t="s">
        <v>566</v>
      </c>
      <c r="B118" t="s">
        <v>854</v>
      </c>
      <c r="C118" t="s">
        <v>865</v>
      </c>
    </row>
    <row r="119" spans="1:3" x14ac:dyDescent="0.3">
      <c r="A119" s="21" t="s">
        <v>800</v>
      </c>
      <c r="B119" t="s">
        <v>856</v>
      </c>
      <c r="C119" t="s">
        <v>871</v>
      </c>
    </row>
    <row r="120" spans="1:3" x14ac:dyDescent="0.3">
      <c r="A120" s="21" t="s">
        <v>857</v>
      </c>
      <c r="B120" t="s">
        <v>858</v>
      </c>
      <c r="C120" t="s">
        <v>873</v>
      </c>
    </row>
    <row r="121" spans="1:3" x14ac:dyDescent="0.3">
      <c r="A121" s="26" t="s">
        <v>575</v>
      </c>
      <c r="B121" t="s">
        <v>859</v>
      </c>
      <c r="C121" t="s">
        <v>866</v>
      </c>
    </row>
    <row r="122" spans="1:3" x14ac:dyDescent="0.3">
      <c r="A122" s="26" t="s">
        <v>608</v>
      </c>
      <c r="B122" t="s">
        <v>852</v>
      </c>
      <c r="C122" t="s">
        <v>867</v>
      </c>
    </row>
    <row r="123" spans="1:3" x14ac:dyDescent="0.3">
      <c r="A123" s="26" t="s">
        <v>547</v>
      </c>
      <c r="B123" s="71" t="s">
        <v>853</v>
      </c>
      <c r="C123" s="72" t="s">
        <v>869</v>
      </c>
    </row>
    <row r="124" spans="1:3" x14ac:dyDescent="0.3">
      <c r="A124" s="26" t="s">
        <v>550</v>
      </c>
      <c r="B124" s="71"/>
      <c r="C124" s="72"/>
    </row>
    <row r="125" spans="1:3" x14ac:dyDescent="0.3">
      <c r="A125" s="26" t="s">
        <v>553</v>
      </c>
      <c r="B125" s="71"/>
      <c r="C125" s="72"/>
    </row>
    <row r="126" spans="1:3" x14ac:dyDescent="0.3">
      <c r="A126" s="58" t="s">
        <v>790</v>
      </c>
      <c r="B126" t="s">
        <v>861</v>
      </c>
      <c r="C126" t="s">
        <v>874</v>
      </c>
    </row>
    <row r="127" spans="1:3" x14ac:dyDescent="0.3">
      <c r="A127" s="21" t="s">
        <v>803</v>
      </c>
      <c r="B127" t="s">
        <v>863</v>
      </c>
      <c r="C127" t="s">
        <v>870</v>
      </c>
    </row>
    <row r="128" spans="1:3" x14ac:dyDescent="0.3">
      <c r="A128" s="58" t="s">
        <v>789</v>
      </c>
      <c r="B128" t="s">
        <v>862</v>
      </c>
      <c r="C128" t="s">
        <v>875</v>
      </c>
    </row>
    <row r="129" spans="1:2" x14ac:dyDescent="0.3">
      <c r="A129" s="21" t="s">
        <v>768</v>
      </c>
      <c r="B129" t="s">
        <v>864</v>
      </c>
    </row>
    <row r="132" spans="1:2" x14ac:dyDescent="0.3">
      <c r="A132" s="73" t="s">
        <v>889</v>
      </c>
    </row>
    <row r="133" spans="1:2" x14ac:dyDescent="0.3">
      <c r="A133" s="6" t="s">
        <v>883</v>
      </c>
    </row>
    <row r="134" spans="1:2" x14ac:dyDescent="0.3">
      <c r="A134" s="6" t="s">
        <v>884</v>
      </c>
    </row>
    <row r="135" spans="1:2" x14ac:dyDescent="0.3">
      <c r="A135" s="6" t="s">
        <v>885</v>
      </c>
    </row>
    <row r="136" spans="1:2" x14ac:dyDescent="0.3">
      <c r="A136" s="6" t="s">
        <v>18</v>
      </c>
    </row>
    <row r="137" spans="1:2" x14ac:dyDescent="0.3">
      <c r="A137" s="6" t="s">
        <v>886</v>
      </c>
    </row>
    <row r="138" spans="1:2" x14ac:dyDescent="0.3">
      <c r="A138" s="6" t="s">
        <v>887</v>
      </c>
    </row>
    <row r="139" spans="1:2" x14ac:dyDescent="0.3">
      <c r="A139" s="6" t="s">
        <v>888</v>
      </c>
    </row>
    <row r="140" spans="1:2" x14ac:dyDescent="0.3">
      <c r="A140" s="6" t="s">
        <v>152</v>
      </c>
    </row>
  </sheetData>
  <mergeCells count="4">
    <mergeCell ref="A2:C2"/>
    <mergeCell ref="B123:B125"/>
    <mergeCell ref="C123:C125"/>
    <mergeCell ref="C111:C112"/>
  </mergeCells>
  <pageMargins left="0.7" right="0.7" top="0.75" bottom="0.75" header="0.3" footer="0.3"/>
  <pageSetup paperSize="9" scale="69" fitToHeight="0"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8CE98-3567-409E-99F2-2C038382AAE2}">
  <dimension ref="A1:F71"/>
  <sheetViews>
    <sheetView zoomScale="111" workbookViewId="0">
      <selection activeCell="E49" sqref="E49"/>
    </sheetView>
  </sheetViews>
  <sheetFormatPr defaultRowHeight="14.4" x14ac:dyDescent="0.3"/>
  <cols>
    <col min="1" max="1" width="19" bestFit="1" customWidth="1"/>
    <col min="4" max="4" width="10.5546875" customWidth="1"/>
    <col min="5" max="5" width="13.88671875" customWidth="1"/>
    <col min="6" max="6" width="16.5546875" customWidth="1"/>
  </cols>
  <sheetData>
    <row r="1" spans="1:6" ht="25.8" x14ac:dyDescent="0.5">
      <c r="A1" s="10">
        <v>46011</v>
      </c>
    </row>
    <row r="3" spans="1:6" ht="18" x14ac:dyDescent="0.35">
      <c r="A3" s="12" t="s">
        <v>370</v>
      </c>
    </row>
    <row r="4" spans="1:6" x14ac:dyDescent="0.3">
      <c r="A4" t="s">
        <v>371</v>
      </c>
      <c r="B4" t="s">
        <v>372</v>
      </c>
      <c r="F4" t="s">
        <v>496</v>
      </c>
    </row>
    <row r="5" spans="1:6" ht="158.4" x14ac:dyDescent="0.3">
      <c r="A5" s="11" t="s">
        <v>374</v>
      </c>
      <c r="B5" t="s">
        <v>373</v>
      </c>
      <c r="C5" s="11" t="s">
        <v>497</v>
      </c>
      <c r="F5" s="11" t="s">
        <v>498</v>
      </c>
    </row>
    <row r="8" spans="1:6" ht="18" x14ac:dyDescent="0.35">
      <c r="A8" s="12" t="s">
        <v>375</v>
      </c>
    </row>
    <row r="9" spans="1:6" x14ac:dyDescent="0.3">
      <c r="A9" t="s">
        <v>371</v>
      </c>
      <c r="B9" t="s">
        <v>368</v>
      </c>
      <c r="C9" t="s">
        <v>376</v>
      </c>
      <c r="F9" t="s">
        <v>496</v>
      </c>
    </row>
    <row r="10" spans="1:6" ht="100.8" x14ac:dyDescent="0.3">
      <c r="A10" s="11" t="s">
        <v>380</v>
      </c>
      <c r="B10" t="s">
        <v>378</v>
      </c>
      <c r="C10" t="s">
        <v>377</v>
      </c>
      <c r="F10" s="11" t="s">
        <v>499</v>
      </c>
    </row>
    <row r="13" spans="1:6" ht="18" x14ac:dyDescent="0.35">
      <c r="A13" s="12" t="s">
        <v>379</v>
      </c>
    </row>
    <row r="14" spans="1:6" ht="86.4" x14ac:dyDescent="0.3">
      <c r="A14" s="11" t="s">
        <v>381</v>
      </c>
    </row>
    <row r="17" spans="1:6" ht="18" x14ac:dyDescent="0.35">
      <c r="A17" s="12" t="s">
        <v>382</v>
      </c>
    </row>
    <row r="18" spans="1:6" x14ac:dyDescent="0.3">
      <c r="A18" t="s">
        <v>383</v>
      </c>
      <c r="B18" t="s">
        <v>384</v>
      </c>
      <c r="C18" t="s">
        <v>385</v>
      </c>
      <c r="E18" s="11" t="s">
        <v>394</v>
      </c>
      <c r="F18" s="11" t="s">
        <v>395</v>
      </c>
    </row>
    <row r="19" spans="1:6" ht="28.8" x14ac:dyDescent="0.3">
      <c r="A19" s="11" t="s">
        <v>408</v>
      </c>
      <c r="B19" t="s">
        <v>369</v>
      </c>
      <c r="C19" t="s">
        <v>386</v>
      </c>
      <c r="E19" t="s">
        <v>396</v>
      </c>
      <c r="F19" t="s">
        <v>400</v>
      </c>
    </row>
    <row r="20" spans="1:6" ht="28.8" x14ac:dyDescent="0.3">
      <c r="A20" s="11" t="s">
        <v>409</v>
      </c>
      <c r="E20" t="s">
        <v>397</v>
      </c>
      <c r="F20" t="s">
        <v>401</v>
      </c>
    </row>
    <row r="21" spans="1:6" x14ac:dyDescent="0.3">
      <c r="A21" s="11" t="s">
        <v>410</v>
      </c>
      <c r="E21" t="s">
        <v>398</v>
      </c>
      <c r="F21" t="s">
        <v>403</v>
      </c>
    </row>
    <row r="22" spans="1:6" x14ac:dyDescent="0.3">
      <c r="A22" s="11"/>
      <c r="E22" t="s">
        <v>399</v>
      </c>
      <c r="F22" t="s">
        <v>402</v>
      </c>
    </row>
    <row r="23" spans="1:6" x14ac:dyDescent="0.3">
      <c r="A23" s="11"/>
      <c r="E23" t="s">
        <v>406</v>
      </c>
      <c r="F23" t="s">
        <v>404</v>
      </c>
    </row>
    <row r="24" spans="1:6" x14ac:dyDescent="0.3">
      <c r="A24" s="11"/>
      <c r="E24" t="s">
        <v>407</v>
      </c>
      <c r="F24" t="s">
        <v>405</v>
      </c>
    </row>
    <row r="27" spans="1:6" ht="18" x14ac:dyDescent="0.35">
      <c r="A27" s="12" t="s">
        <v>387</v>
      </c>
    </row>
    <row r="28" spans="1:6" ht="331.2" x14ac:dyDescent="0.3">
      <c r="A28" s="11" t="s">
        <v>393</v>
      </c>
      <c r="B28" t="s">
        <v>390</v>
      </c>
      <c r="C28" t="s">
        <v>391</v>
      </c>
    </row>
    <row r="29" spans="1:6" x14ac:dyDescent="0.3">
      <c r="A29" s="11"/>
      <c r="B29" t="s">
        <v>389</v>
      </c>
      <c r="C29" t="s">
        <v>388</v>
      </c>
    </row>
    <row r="30" spans="1:6" x14ac:dyDescent="0.3">
      <c r="B30" s="11" t="s">
        <v>392</v>
      </c>
      <c r="C30" t="s">
        <v>389</v>
      </c>
    </row>
    <row r="34" spans="1:4" x14ac:dyDescent="0.3">
      <c r="A34" t="s">
        <v>154</v>
      </c>
      <c r="B34" t="s">
        <v>303</v>
      </c>
    </row>
    <row r="36" spans="1:4" x14ac:dyDescent="0.3">
      <c r="A36" t="s">
        <v>11</v>
      </c>
    </row>
    <row r="38" spans="1:4" x14ac:dyDescent="0.3">
      <c r="D38" t="s">
        <v>414</v>
      </c>
    </row>
    <row r="41" spans="1:4" x14ac:dyDescent="0.3">
      <c r="B41" t="s">
        <v>117</v>
      </c>
    </row>
    <row r="43" spans="1:4" x14ac:dyDescent="0.3">
      <c r="A43" t="s">
        <v>73</v>
      </c>
      <c r="B43" t="s">
        <v>72</v>
      </c>
    </row>
    <row r="44" spans="1:4" x14ac:dyDescent="0.3">
      <c r="C44" t="s">
        <v>428</v>
      </c>
      <c r="D44" t="s">
        <v>411</v>
      </c>
    </row>
    <row r="45" spans="1:4" x14ac:dyDescent="0.3">
      <c r="A45" t="s">
        <v>79</v>
      </c>
      <c r="C45" t="s">
        <v>613</v>
      </c>
    </row>
    <row r="46" spans="1:4" x14ac:dyDescent="0.3">
      <c r="A46" t="s">
        <v>82</v>
      </c>
    </row>
    <row r="48" spans="1:4" x14ac:dyDescent="0.3">
      <c r="A48" t="s">
        <v>83</v>
      </c>
    </row>
    <row r="49" spans="1:4" x14ac:dyDescent="0.3">
      <c r="A49" t="s">
        <v>51</v>
      </c>
      <c r="B49" t="s">
        <v>50</v>
      </c>
    </row>
    <row r="50" spans="1:4" x14ac:dyDescent="0.3">
      <c r="A50" t="s">
        <v>53</v>
      </c>
    </row>
    <row r="55" spans="1:4" x14ac:dyDescent="0.3">
      <c r="A55" t="s">
        <v>42</v>
      </c>
      <c r="B55" t="s">
        <v>433</v>
      </c>
      <c r="D55" t="s">
        <v>220</v>
      </c>
    </row>
    <row r="56" spans="1:4" x14ac:dyDescent="0.3">
      <c r="A56" t="s">
        <v>38</v>
      </c>
      <c r="B56" t="s">
        <v>37</v>
      </c>
    </row>
    <row r="57" spans="1:4" x14ac:dyDescent="0.3">
      <c r="C57" t="s">
        <v>612</v>
      </c>
    </row>
    <row r="58" spans="1:4" x14ac:dyDescent="0.3">
      <c r="A58" t="s">
        <v>611</v>
      </c>
    </row>
    <row r="59" spans="1:4" x14ac:dyDescent="0.3">
      <c r="A59" t="s">
        <v>610</v>
      </c>
    </row>
    <row r="63" spans="1:4" x14ac:dyDescent="0.3">
      <c r="A63" t="s">
        <v>149</v>
      </c>
    </row>
    <row r="64" spans="1:4" x14ac:dyDescent="0.3">
      <c r="B64" t="s">
        <v>131</v>
      </c>
    </row>
    <row r="65" spans="1:4" x14ac:dyDescent="0.3">
      <c r="A65" t="s">
        <v>609</v>
      </c>
    </row>
    <row r="66" spans="1:4" x14ac:dyDescent="0.3">
      <c r="A66" s="21"/>
      <c r="B66" s="20"/>
      <c r="D66" s="20"/>
    </row>
    <row r="67" spans="1:4" x14ac:dyDescent="0.3">
      <c r="A67" s="21"/>
      <c r="B67" s="20"/>
      <c r="D67" s="20"/>
    </row>
    <row r="68" spans="1:4" x14ac:dyDescent="0.3">
      <c r="A68" s="21"/>
      <c r="B68" s="20"/>
      <c r="D68" s="20"/>
    </row>
    <row r="69" spans="1:4" x14ac:dyDescent="0.3">
      <c r="A69" s="21"/>
      <c r="B69" s="20"/>
      <c r="D69" s="20"/>
    </row>
    <row r="70" spans="1:4" x14ac:dyDescent="0.3">
      <c r="A70" s="21"/>
      <c r="B70" s="20"/>
      <c r="D70" s="20"/>
    </row>
    <row r="71" spans="1:4" x14ac:dyDescent="0.3">
      <c r="A71" s="21"/>
      <c r="B71" s="20"/>
      <c r="D71"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Reception</vt:lpstr>
      <vt:lpstr>Resort</vt:lpstr>
      <vt:lpstr>Car</vt:lpstr>
      <vt:lpstr>Room</vt:lpstr>
      <vt:lpstr>FINAL ROOM</vt:lpstr>
      <vt:lpstr>Function</vt:lpstr>
      <vt:lpstr>Bolleywood</vt:lpstr>
      <vt:lpstr>20-12-25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kyshukla2004@outlook.com</dc:creator>
  <cp:lastModifiedBy>kyshukla2004@outlook.com</cp:lastModifiedBy>
  <cp:lastPrinted>2025-05-16T10:33:36Z</cp:lastPrinted>
  <dcterms:created xsi:type="dcterms:W3CDTF">2025-04-28T04:48:43Z</dcterms:created>
  <dcterms:modified xsi:type="dcterms:W3CDTF">2025-11-04T07:58:30Z</dcterms:modified>
</cp:coreProperties>
</file>